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Zircon_Solubility/"/>
    </mc:Choice>
  </mc:AlternateContent>
  <xr:revisionPtr revIDLastSave="175" documentId="13_ncr:1_{1F9CB4AD-A0E7-454C-9009-7539F4A6F279}" xr6:coauthVersionLast="47" xr6:coauthVersionMax="47" xr10:uidLastSave="{89AB7F6A-2788-44B7-ADC0-8403DDD38E96}"/>
  <bookViews>
    <workbookView xWindow="28680" yWindow="-120" windowWidth="29040" windowHeight="15720" activeTab="1" xr2:uid="{946925D1-F551-3C4C-922B-DE260DAF4B60}"/>
  </bookViews>
  <sheets>
    <sheet name="Data" sheetId="1" r:id="rId1"/>
    <sheet name="SolbTable" sheetId="4" r:id="rId2"/>
    <sheet name="Ternary solutions" sheetId="3" r:id="rId3"/>
    <sheet name="Mix data" sheetId="2" r:id="rId4"/>
  </sheets>
  <definedNames>
    <definedName name="ENT">Data!$AB$4</definedName>
    <definedName name="solver_adj" localSheetId="0" hidden="1">Data!#REF!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Data!#REF!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USGS49">Data!$AB$3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1" i="1" l="1"/>
  <c r="AE40" i="1"/>
  <c r="M2" i="4"/>
  <c r="M3" i="4"/>
  <c r="P3" i="4" s="1"/>
  <c r="U3" i="4" s="1"/>
  <c r="V3" i="4" s="1"/>
  <c r="W3" i="4" s="1"/>
  <c r="M4" i="4"/>
  <c r="P4" i="4" s="1"/>
  <c r="Q4" i="4" s="1"/>
  <c r="M5" i="4"/>
  <c r="M6" i="4"/>
  <c r="M7" i="4"/>
  <c r="M12" i="4"/>
  <c r="P12" i="4" s="1"/>
  <c r="Q12" i="4" s="1"/>
  <c r="L12" i="4"/>
  <c r="N12" i="4" s="1"/>
  <c r="M11" i="4"/>
  <c r="P11" i="4" s="1"/>
  <c r="L11" i="4"/>
  <c r="N11" i="4" s="1"/>
  <c r="M10" i="4"/>
  <c r="L10" i="4"/>
  <c r="N10" i="4" s="1"/>
  <c r="M9" i="4"/>
  <c r="P9" i="4" s="1"/>
  <c r="U9" i="4" s="1"/>
  <c r="V9" i="4" s="1"/>
  <c r="W9" i="4" s="1"/>
  <c r="L9" i="4"/>
  <c r="N9" i="4" s="1"/>
  <c r="M8" i="4"/>
  <c r="L8" i="4"/>
  <c r="N8" i="4" s="1"/>
  <c r="P2" i="4"/>
  <c r="Q2" i="4" s="1"/>
  <c r="L2" i="4"/>
  <c r="N2" i="4" s="1"/>
  <c r="L3" i="4"/>
  <c r="N3" i="4" s="1"/>
  <c r="I7" i="4"/>
  <c r="S6" i="4"/>
  <c r="I6" i="4"/>
  <c r="S5" i="4"/>
  <c r="I5" i="4"/>
  <c r="S4" i="4"/>
  <c r="L4" i="4"/>
  <c r="N4" i="4" s="1"/>
  <c r="V72" i="1"/>
  <c r="V71" i="1"/>
  <c r="V70" i="1"/>
  <c r="V69" i="1"/>
  <c r="V68" i="1"/>
  <c r="O69" i="1"/>
  <c r="N68" i="1"/>
  <c r="Q68" i="1" s="1"/>
  <c r="Q25" i="1"/>
  <c r="M2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24" i="1"/>
  <c r="O24" i="1" s="1"/>
  <c r="T41" i="1"/>
  <c r="T40" i="1"/>
  <c r="T39" i="1"/>
  <c r="T38" i="1"/>
  <c r="T37" i="1"/>
  <c r="T36" i="1"/>
  <c r="T35" i="1"/>
  <c r="T34" i="1"/>
  <c r="T33" i="1"/>
  <c r="T32" i="1"/>
  <c r="T31" i="1"/>
  <c r="T30" i="1"/>
  <c r="T25" i="1"/>
  <c r="T24" i="1"/>
  <c r="Q49" i="1"/>
  <c r="R49" i="1" s="1"/>
  <c r="Q24" i="1"/>
  <c r="M72" i="1"/>
  <c r="O72" i="1" s="1"/>
  <c r="M71" i="1"/>
  <c r="O71" i="1" s="1"/>
  <c r="M70" i="1"/>
  <c r="O70" i="1" s="1"/>
  <c r="M69" i="1"/>
  <c r="M68" i="1"/>
  <c r="O68" i="1" s="1"/>
  <c r="P7" i="4" l="1"/>
  <c r="U7" i="4" s="1"/>
  <c r="V7" i="4" s="1"/>
  <c r="W7" i="4" s="1"/>
  <c r="P5" i="4"/>
  <c r="Q5" i="4" s="1"/>
  <c r="P6" i="4"/>
  <c r="Q6" i="4" s="1"/>
  <c r="U2" i="4"/>
  <c r="V2" i="4" s="1"/>
  <c r="W2" i="4" s="1"/>
  <c r="U4" i="4"/>
  <c r="V4" i="4" s="1"/>
  <c r="W4" i="4" s="1"/>
  <c r="L7" i="4"/>
  <c r="N7" i="4" s="1"/>
  <c r="L6" i="4"/>
  <c r="N6" i="4" s="1"/>
  <c r="U6" i="4"/>
  <c r="V6" i="4" s="1"/>
  <c r="W6" i="4" s="1"/>
  <c r="P8" i="4"/>
  <c r="U8" i="4" s="1"/>
  <c r="V8" i="4" s="1"/>
  <c r="W8" i="4" s="1"/>
  <c r="U5" i="4"/>
  <c r="V5" i="4" s="1"/>
  <c r="W5" i="4" s="1"/>
  <c r="Q11" i="4"/>
  <c r="U11" i="4"/>
  <c r="V11" i="4" s="1"/>
  <c r="W11" i="4" s="1"/>
  <c r="Q3" i="4"/>
  <c r="U12" i="4"/>
  <c r="V12" i="4" s="1"/>
  <c r="W12" i="4" s="1"/>
  <c r="L5" i="4"/>
  <c r="N5" i="4" s="1"/>
  <c r="P10" i="4"/>
  <c r="Q9" i="4"/>
  <c r="V25" i="1"/>
  <c r="V24" i="1"/>
  <c r="W24" i="1" s="1"/>
  <c r="R24" i="1"/>
  <c r="N69" i="1"/>
  <c r="N70" i="1"/>
  <c r="N71" i="1"/>
  <c r="N72" i="1"/>
  <c r="AD41" i="1"/>
  <c r="AD42" i="1"/>
  <c r="AD40" i="1"/>
  <c r="Q7" i="4" l="1"/>
  <c r="Q8" i="4"/>
  <c r="U10" i="4"/>
  <c r="V10" i="4" s="1"/>
  <c r="W10" i="4" s="1"/>
  <c r="Q10" i="4"/>
  <c r="Q69" i="1"/>
  <c r="Q72" i="1"/>
  <c r="Q71" i="1"/>
  <c r="Q70" i="1"/>
  <c r="Q46" i="1"/>
  <c r="V46" i="1" s="1"/>
  <c r="Q47" i="1"/>
  <c r="V47" i="1" s="1"/>
  <c r="Q48" i="1"/>
  <c r="V48" i="1" s="1"/>
  <c r="A6" i="2"/>
  <c r="AB12" i="1"/>
  <c r="P68" i="1" s="1"/>
  <c r="P69" i="1" l="1"/>
  <c r="P71" i="1"/>
  <c r="P70" i="1"/>
  <c r="P72" i="1"/>
  <c r="W25" i="1"/>
  <c r="X25" i="1" s="1"/>
  <c r="P42" i="1"/>
  <c r="P25" i="1"/>
  <c r="R25" i="1"/>
  <c r="W71" i="1"/>
  <c r="X71" i="1" s="1"/>
  <c r="R71" i="1"/>
  <c r="W68" i="1"/>
  <c r="X68" i="1" s="1"/>
  <c r="R68" i="1"/>
  <c r="W70" i="1"/>
  <c r="X70" i="1" s="1"/>
  <c r="R70" i="1"/>
  <c r="W69" i="1"/>
  <c r="X69" i="1" s="1"/>
  <c r="R69" i="1"/>
  <c r="W72" i="1"/>
  <c r="X72" i="1" s="1"/>
  <c r="R72" i="1"/>
  <c r="R46" i="1"/>
  <c r="W46" i="1"/>
  <c r="X46" i="1" s="1"/>
  <c r="P31" i="1"/>
  <c r="X24" i="1"/>
  <c r="R48" i="1"/>
  <c r="W48" i="1"/>
  <c r="X48" i="1" s="1"/>
  <c r="R47" i="1"/>
  <c r="W47" i="1"/>
  <c r="X47" i="1" s="1"/>
  <c r="P32" i="1"/>
  <c r="P56" i="1"/>
  <c r="P41" i="1"/>
  <c r="P39" i="1"/>
  <c r="P38" i="1"/>
  <c r="P36" i="1"/>
  <c r="P35" i="1"/>
  <c r="P34" i="1"/>
  <c r="P30" i="1"/>
  <c r="P40" i="1"/>
  <c r="P37" i="1"/>
  <c r="P33" i="1"/>
  <c r="P29" i="1"/>
  <c r="P24" i="1"/>
  <c r="P28" i="1"/>
  <c r="P59" i="1"/>
  <c r="P27" i="1"/>
  <c r="P58" i="1"/>
  <c r="P26" i="1"/>
  <c r="P57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O48" i="1"/>
  <c r="O49" i="1"/>
  <c r="F2" i="2"/>
  <c r="E2" i="2"/>
  <c r="B4" i="2"/>
  <c r="E4" i="2" s="1"/>
  <c r="B5" i="2"/>
  <c r="E5" i="2" s="1"/>
  <c r="B6" i="2"/>
  <c r="E6" i="2" s="1"/>
  <c r="B7" i="2"/>
  <c r="E7" i="2" s="1"/>
  <c r="B8" i="2"/>
  <c r="E8" i="2" s="1"/>
  <c r="B9" i="2"/>
  <c r="E9" i="2" s="1"/>
  <c r="B10" i="2"/>
  <c r="E10" i="2" s="1"/>
  <c r="B11" i="2"/>
  <c r="E11" i="2" s="1"/>
  <c r="B12" i="2"/>
  <c r="E12" i="2" s="1"/>
  <c r="B3" i="2"/>
  <c r="E3" i="2" s="1"/>
  <c r="A4" i="2"/>
  <c r="A5" i="2"/>
  <c r="A7" i="2"/>
  <c r="A8" i="2"/>
  <c r="A9" i="2"/>
  <c r="A10" i="2"/>
  <c r="A11" i="2"/>
  <c r="A12" i="2"/>
  <c r="A3" i="2"/>
  <c r="C2" i="2"/>
  <c r="B2" i="2"/>
  <c r="A2" i="2"/>
  <c r="O25" i="1"/>
  <c r="O46" i="1"/>
  <c r="O47" i="1"/>
  <c r="O50" i="1"/>
  <c r="C3" i="2" s="1"/>
  <c r="F5" i="2" s="1"/>
  <c r="O51" i="1"/>
  <c r="C4" i="2" s="1"/>
  <c r="F6" i="2" s="1"/>
  <c r="O52" i="1"/>
  <c r="C5" i="2" s="1"/>
  <c r="O53" i="1"/>
  <c r="C6" i="2" s="1"/>
  <c r="O54" i="1"/>
  <c r="C7" i="2" s="1"/>
  <c r="O55" i="1"/>
  <c r="C8" i="2" s="1"/>
  <c r="O56" i="1"/>
  <c r="C9" i="2" s="1"/>
  <c r="O57" i="1"/>
  <c r="C10" i="2" s="1"/>
  <c r="O58" i="1"/>
  <c r="C11" i="2" s="1"/>
  <c r="F3" i="2" s="1"/>
  <c r="O59" i="1"/>
  <c r="C12" i="2" s="1"/>
  <c r="F4" i="2" s="1"/>
  <c r="L45" i="1"/>
  <c r="J45" i="1"/>
  <c r="L44" i="1"/>
  <c r="J44" i="1"/>
  <c r="J43" i="1"/>
  <c r="M43" i="1" s="1"/>
  <c r="J42" i="1"/>
  <c r="M42" i="1" s="1"/>
  <c r="J41" i="1"/>
  <c r="M41" i="1" s="1"/>
  <c r="J40" i="1"/>
  <c r="M40" i="1" s="1"/>
  <c r="J39" i="1"/>
  <c r="M39" i="1" s="1"/>
  <c r="J38" i="1"/>
  <c r="M38" i="1" s="1"/>
  <c r="L37" i="1"/>
  <c r="J37" i="1"/>
  <c r="L36" i="1"/>
  <c r="J36" i="1"/>
  <c r="J35" i="1"/>
  <c r="M35" i="1" s="1"/>
  <c r="J34" i="1"/>
  <c r="M34" i="1" s="1"/>
  <c r="J33" i="1"/>
  <c r="M33" i="1" s="1"/>
  <c r="J32" i="1"/>
  <c r="M32" i="1" s="1"/>
  <c r="J31" i="1"/>
  <c r="L31" i="1"/>
  <c r="L30" i="1"/>
  <c r="J30" i="1"/>
  <c r="J29" i="1"/>
  <c r="L29" i="1"/>
  <c r="M29" i="1" s="1"/>
  <c r="L28" i="1"/>
  <c r="J28" i="1"/>
  <c r="J27" i="1"/>
  <c r="L27" i="1"/>
  <c r="L26" i="1"/>
  <c r="J26" i="1"/>
  <c r="M31" i="1" l="1"/>
  <c r="M27" i="1"/>
  <c r="M30" i="1"/>
  <c r="O30" i="1" s="1"/>
  <c r="M26" i="1"/>
  <c r="M44" i="1"/>
  <c r="O44" i="1" s="1"/>
  <c r="M36" i="1"/>
  <c r="M28" i="1"/>
  <c r="O28" i="1" s="1"/>
  <c r="M45" i="1"/>
  <c r="O45" i="1" s="1"/>
  <c r="M37" i="1"/>
  <c r="Q45" i="1"/>
  <c r="Q28" i="1"/>
  <c r="Q37" i="1"/>
  <c r="O38" i="1"/>
  <c r="Q38" i="1"/>
  <c r="O39" i="1"/>
  <c r="Q39" i="1"/>
  <c r="Q44" i="1"/>
  <c r="O40" i="1"/>
  <c r="Q40" i="1"/>
  <c r="O41" i="1"/>
  <c r="Q41" i="1"/>
  <c r="O43" i="1"/>
  <c r="Q43" i="1"/>
  <c r="O33" i="1"/>
  <c r="Q33" i="1"/>
  <c r="O34" i="1"/>
  <c r="Q34" i="1"/>
  <c r="O35" i="1"/>
  <c r="Q35" i="1"/>
  <c r="O42" i="1"/>
  <c r="Q42" i="1"/>
  <c r="Q26" i="1"/>
  <c r="Q29" i="1"/>
  <c r="Q30" i="1"/>
  <c r="Q31" i="1"/>
  <c r="Q36" i="1"/>
  <c r="Q27" i="1"/>
  <c r="O32" i="1"/>
  <c r="Q32" i="1"/>
  <c r="O27" i="1"/>
  <c r="O36" i="1"/>
  <c r="F9" i="2"/>
  <c r="F8" i="2"/>
  <c r="F10" i="2"/>
  <c r="F7" i="2"/>
  <c r="O37" i="1"/>
  <c r="O31" i="1"/>
  <c r="O29" i="1"/>
  <c r="O26" i="1"/>
  <c r="R27" i="1" l="1"/>
  <c r="AB36" i="1" s="1"/>
  <c r="V27" i="1"/>
  <c r="R37" i="1"/>
  <c r="V37" i="1"/>
  <c r="W37" i="1" s="1"/>
  <c r="X37" i="1" s="1"/>
  <c r="R41" i="1"/>
  <c r="V41" i="1"/>
  <c r="R44" i="1"/>
  <c r="V44" i="1"/>
  <c r="W44" i="1" s="1"/>
  <c r="X44" i="1" s="1"/>
  <c r="R32" i="1"/>
  <c r="V32" i="1"/>
  <c r="W32" i="1" s="1"/>
  <c r="X32" i="1" s="1"/>
  <c r="R38" i="1"/>
  <c r="V38" i="1"/>
  <c r="W38" i="1" s="1"/>
  <c r="X38" i="1" s="1"/>
  <c r="R33" i="1"/>
  <c r="V33" i="1"/>
  <c r="R36" i="1"/>
  <c r="V36" i="1"/>
  <c r="W36" i="1" s="1"/>
  <c r="X36" i="1" s="1"/>
  <c r="R43" i="1"/>
  <c r="V43" i="1"/>
  <c r="R26" i="1"/>
  <c r="V26" i="1"/>
  <c r="W26" i="1" s="1"/>
  <c r="X26" i="1" s="1"/>
  <c r="R31" i="1"/>
  <c r="V31" i="1"/>
  <c r="W31" i="1" s="1"/>
  <c r="X31" i="1" s="1"/>
  <c r="R28" i="1"/>
  <c r="V28" i="1"/>
  <c r="W28" i="1" s="1"/>
  <c r="X28" i="1" s="1"/>
  <c r="R45" i="1"/>
  <c r="V45" i="1"/>
  <c r="R29" i="1"/>
  <c r="V29" i="1"/>
  <c r="R42" i="1"/>
  <c r="V42" i="1"/>
  <c r="R40" i="1"/>
  <c r="V40" i="1"/>
  <c r="W40" i="1" s="1"/>
  <c r="X40" i="1" s="1"/>
  <c r="R35" i="1"/>
  <c r="V35" i="1"/>
  <c r="R39" i="1"/>
  <c r="V39" i="1"/>
  <c r="W39" i="1" s="1"/>
  <c r="X39" i="1" s="1"/>
  <c r="R34" i="1"/>
  <c r="V34" i="1"/>
  <c r="R30" i="1"/>
  <c r="V30" i="1"/>
  <c r="W30" i="1" s="1"/>
  <c r="X30" i="1" s="1"/>
  <c r="W27" i="1"/>
  <c r="X27" i="1" s="1"/>
  <c r="W33" i="1"/>
  <c r="X33" i="1" s="1"/>
  <c r="W41" i="1"/>
  <c r="X41" i="1" s="1"/>
  <c r="W45" i="1"/>
  <c r="X45" i="1" s="1"/>
  <c r="W42" i="1"/>
  <c r="X42" i="1" s="1"/>
  <c r="W29" i="1"/>
  <c r="X29" i="1" s="1"/>
  <c r="W34" i="1"/>
  <c r="X34" i="1" s="1"/>
  <c r="W35" i="1"/>
  <c r="X35" i="1" s="1"/>
  <c r="W43" i="1"/>
  <c r="X43" i="1" s="1"/>
  <c r="AB34" i="1" l="1"/>
  <c r="AE42" i="1"/>
  <c r="AB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tc={D0DFB63B-DE18-4B8C-9DD2-ED8DA8EAEC66}</author>
  </authors>
  <commentList>
    <comment ref="V1" authorId="0" shapeId="0" xr:uid="{D0DFB63B-DE18-4B8C-9DD2-ED8DA8EAEC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mass of oxygen contributed to the fluid by dissolution of zircon: 
MO,MTZ = (MO,fl*d18Ofl - MO,USGS49d18OUSGS49 - MO,SiO2d18OSiO2)/d18OMTZ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tc={D901682E-3CC2-48BC-8F1A-FC77785A2010}</author>
  </authors>
  <commentList>
    <comment ref="U1" authorId="0" shapeId="0" xr:uid="{D901682E-3CC2-48BC-8F1A-FC77785A20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mass of oxygen contributed to the fluid by dissolution of zircon: 
MO,MTZ = (MO,fl*d18Ofl - MO,USGS49d18OUSGS49 - MO,SiO2d18OSiO2)/d18OMTZ
</t>
      </text>
    </comment>
  </commentList>
</comments>
</file>

<file path=xl/sharedStrings.xml><?xml version="1.0" encoding="utf-8"?>
<sst xmlns="http://schemas.openxmlformats.org/spreadsheetml/2006/main" count="241" uniqueCount="137">
  <si>
    <t>OurLabID</t>
  </si>
  <si>
    <t>Sample ID</t>
  </si>
  <si>
    <t>Analysis_Date_Time</t>
  </si>
  <si>
    <t>d2H of injections</t>
  </si>
  <si>
    <t>d2H injections St Dev</t>
  </si>
  <si>
    <t>d2H of Analyses</t>
  </si>
  <si>
    <t>d18O of injections</t>
  </si>
  <si>
    <t>d18O injections St Dev</t>
  </si>
  <si>
    <t>M Fl (mg)</t>
    <phoneticPr fontId="5" type="noConversion"/>
  </si>
  <si>
    <t>M USGS-49 (mg)</t>
  </si>
  <si>
    <t>M ENT (mg)</t>
  </si>
  <si>
    <t>XENT</t>
  </si>
  <si>
    <t>d18O Meas</t>
  </si>
  <si>
    <t>d18O Nominal</t>
  </si>
  <si>
    <t>(18O/16O)soln</t>
  </si>
  <si>
    <t>d18O Fl</t>
  </si>
  <si>
    <t>Δ18O Fl</t>
  </si>
  <si>
    <t>d18O ISO</t>
    <phoneticPr fontId="5" type="noConversion"/>
  </si>
  <si>
    <t>M SiO2 (mg)</t>
  </si>
  <si>
    <t>M Qz sat. (mg)</t>
    <phoneticPr fontId="5" type="noConversion"/>
  </si>
  <si>
    <t>MO,MTZ (g)</t>
  </si>
  <si>
    <t>MMTZ (g)</t>
  </si>
  <si>
    <t>Solb (molality)</t>
  </si>
  <si>
    <t>W-3</t>
  </si>
  <si>
    <t>DIW Wash</t>
  </si>
  <si>
    <t>MT Z</t>
  </si>
  <si>
    <t>d18O</t>
  </si>
  <si>
    <t>W-36</t>
  </si>
  <si>
    <t>USGS 49</t>
  </si>
  <si>
    <t>USGS49</t>
  </si>
  <si>
    <t>ENT</t>
  </si>
  <si>
    <t>USGS49 meas</t>
  </si>
  <si>
    <t xml:space="preserve">USGS49 </t>
  </si>
  <si>
    <t>ENT meas</t>
  </si>
  <si>
    <t xml:space="preserve">ENT </t>
  </si>
  <si>
    <t>W-37</t>
  </si>
  <si>
    <t>USGS 50</t>
  </si>
  <si>
    <t>(18O/16O)SMOW</t>
  </si>
  <si>
    <t>W-998</t>
  </si>
  <si>
    <t>DI for linearity evaluation</t>
  </si>
  <si>
    <t>W-2366</t>
  </si>
  <si>
    <t>Zircon009 RP-1</t>
  </si>
  <si>
    <t>W-2367</t>
  </si>
  <si>
    <t>Zircon014 RP-2</t>
  </si>
  <si>
    <t>W-2368</t>
  </si>
  <si>
    <t>Zircon015 RP-3</t>
  </si>
  <si>
    <t>W-2369</t>
  </si>
  <si>
    <t>Zircon017 RP-4</t>
  </si>
  <si>
    <t>W-2370</t>
  </si>
  <si>
    <t>Zircon019 RP-5</t>
  </si>
  <si>
    <t>W-2371</t>
  </si>
  <si>
    <t>Zircon021 RP-6</t>
  </si>
  <si>
    <t>Min</t>
  </si>
  <si>
    <t>Mean d18O shift</t>
  </si>
  <si>
    <t>W-2372</t>
  </si>
  <si>
    <t>Zircon022 RP-7</t>
  </si>
  <si>
    <t>Max</t>
  </si>
  <si>
    <t>W-2373</t>
  </si>
  <si>
    <t>Zircon010 RP-8</t>
  </si>
  <si>
    <t>Expt</t>
  </si>
  <si>
    <t>time (d)</t>
  </si>
  <si>
    <t>sqrt t</t>
  </si>
  <si>
    <t>Δ18O shift</t>
  </si>
  <si>
    <t>% replacement image</t>
  </si>
  <si>
    <t>W-2374</t>
  </si>
  <si>
    <t>Zircon011 RP-9</t>
  </si>
  <si>
    <t>Z_014</t>
  </si>
  <si>
    <t>Z_015</t>
  </si>
  <si>
    <t>W-2375</t>
  </si>
  <si>
    <t>Zircon012 RP-10</t>
  </si>
  <si>
    <t>Z_016</t>
  </si>
  <si>
    <t>W-2377</t>
  </si>
  <si>
    <t>Zircon016 RP-12</t>
  </si>
  <si>
    <t>W-2280</t>
  </si>
  <si>
    <t>Zircon_006_RP</t>
  </si>
  <si>
    <t>W-2282</t>
  </si>
  <si>
    <t>Zircon_005_RP</t>
  </si>
  <si>
    <t>W-2272</t>
  </si>
  <si>
    <t>Mix 1:1</t>
  </si>
  <si>
    <t>W-2273</t>
  </si>
  <si>
    <t>Mix 1:2</t>
  </si>
  <si>
    <t>W-2274</t>
  </si>
  <si>
    <t>Mix 1:3_2</t>
  </si>
  <si>
    <t>W-2275</t>
  </si>
  <si>
    <t>Mix 1:3</t>
  </si>
  <si>
    <t>W-2276</t>
  </si>
  <si>
    <t>Mix 1:4</t>
  </si>
  <si>
    <t>W-2376</t>
  </si>
  <si>
    <t>USGS49 2-12-24 - 11</t>
  </si>
  <si>
    <t>W-2283</t>
  </si>
  <si>
    <t>East Nashville Tap-2</t>
  </si>
  <si>
    <t>W-2279</t>
  </si>
  <si>
    <t>Zircon_006_Tap</t>
  </si>
  <si>
    <t>W-2281</t>
  </si>
  <si>
    <t>Zircon_005_Tap</t>
  </si>
  <si>
    <t>W-3069</t>
  </si>
  <si>
    <t>zircon_023</t>
  </si>
  <si>
    <t>W-3070</t>
  </si>
  <si>
    <t>zircon_024</t>
  </si>
  <si>
    <t>W-3071</t>
  </si>
  <si>
    <t>zircon_025</t>
  </si>
  <si>
    <t>W-3072</t>
  </si>
  <si>
    <t>zircon_026</t>
  </si>
  <si>
    <t>W-3073</t>
  </si>
  <si>
    <t>zircon_027</t>
  </si>
  <si>
    <t>d2H injections St Dev2</t>
  </si>
  <si>
    <t>d18O SiO2</t>
  </si>
  <si>
    <t>Zir005</t>
  </si>
  <si>
    <t>Zir006</t>
  </si>
  <si>
    <t xml:space="preserve">Zir009 </t>
  </si>
  <si>
    <t xml:space="preserve">Zir010 </t>
  </si>
  <si>
    <t xml:space="preserve">Zir011 </t>
  </si>
  <si>
    <t xml:space="preserve">Zir012 </t>
  </si>
  <si>
    <t>Zir023</t>
  </si>
  <si>
    <t>Zir024</t>
  </si>
  <si>
    <t>Zir025</t>
  </si>
  <si>
    <t>Zir026</t>
  </si>
  <si>
    <t>Zir027</t>
  </si>
  <si>
    <t>Experiment</t>
  </si>
  <si>
    <t>M zir (mg)</t>
  </si>
  <si>
    <t>Zircon005</t>
  </si>
  <si>
    <t>blank</t>
  </si>
  <si>
    <t>Zircon006</t>
  </si>
  <si>
    <t xml:space="preserve">Zircon009 </t>
  </si>
  <si>
    <t xml:space="preserve">Zircon010 </t>
  </si>
  <si>
    <t xml:space="preserve">Zircon011 </t>
  </si>
  <si>
    <t xml:space="preserve">Zircon012 </t>
  </si>
  <si>
    <t xml:space="preserve">Zircon014 </t>
  </si>
  <si>
    <t xml:space="preserve">Zircon015 </t>
  </si>
  <si>
    <t xml:space="preserve">Zircon016 </t>
  </si>
  <si>
    <t xml:space="preserve">Zircon017 </t>
  </si>
  <si>
    <t xml:space="preserve">Zircon019 </t>
  </si>
  <si>
    <t xml:space="preserve">Zircon021 </t>
  </si>
  <si>
    <t xml:space="preserve">Zircon022 </t>
  </si>
  <si>
    <t>Reported</t>
  </si>
  <si>
    <t>Rearranged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</si>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</sst>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"/>
  </numFmts>
  <fonts count="9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z val="12"/>
      <color rgb="FF000000"/>
      <name val="Aptos"/>
      <family val="2"/>
    </font>
    <font>
      <sz val="11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7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  <numFmt numFmtId="1" formatCode="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166" formatCode="0.0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66" formatCode="0.00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64" formatCode="yyyy\-mm\-dd\ hh:mm:ss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product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338145231846"/>
          <c:y val="0.28224591717701952"/>
          <c:w val="0.83887729658792642"/>
          <c:h val="0.51681284631087776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Data!$N$24:$N$47</c:f>
              <c:numCache>
                <c:formatCode>General</c:formatCode>
                <c:ptCount val="24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  <c:pt idx="22">
                  <c:v>-7.91</c:v>
                </c:pt>
                <c:pt idx="23">
                  <c:v>-7.91</c:v>
                </c:pt>
              </c:numCache>
            </c:numRef>
          </c:xVal>
          <c:yVal>
            <c:numRef>
              <c:f>Data!$O$24:$O$47</c:f>
              <c:numCache>
                <c:formatCode>0.00</c:formatCode>
                <c:ptCount val="24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  <c:pt idx="22">
                  <c:v>-6.5561819080166339</c:v>
                </c:pt>
                <c:pt idx="23">
                  <c:v>-6.5561819080166339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D-4FB7-B224-79A7D00D5BB3}"/>
            </c:ext>
          </c:extLst>
        </c:ser>
        <c:ser>
          <c:idx val="1"/>
          <c:order val="1"/>
          <c:tx>
            <c:strRef>
              <c:f>Data!$AB$6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Data!$AA$7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Data!$AB$7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FB7-B224-79A7D00D5BB3}"/>
            </c:ext>
          </c:extLst>
        </c:ser>
        <c:ser>
          <c:idx val="2"/>
          <c:order val="2"/>
          <c:tx>
            <c:strRef>
              <c:f>Data!$AB$9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Data!$AA$10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Data!$AB$10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FB7-B224-79A7D00D5BB3}"/>
            </c:ext>
          </c:extLst>
        </c:ser>
        <c:ser>
          <c:idx val="3"/>
          <c:order val="3"/>
          <c:tx>
            <c:v>1:1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Data!$AB$3:$AB$4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Data!$AC$3:$AC$4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CD-4FB7-B224-79A7D00D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meas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nominal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2338145231846"/>
          <c:y val="0.18646495299832108"/>
          <c:w val="0.83887729658792642"/>
          <c:h val="0.61259375645319125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Data!$N$24:$N$45</c:f>
              <c:numCache>
                <c:formatCode>General</c:formatCode>
                <c:ptCount val="22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</c:numCache>
            </c:numRef>
          </c:xVal>
          <c:yVal>
            <c:numRef>
              <c:f>Data!$O$24:$O$45</c:f>
              <c:numCache>
                <c:formatCode>0.00</c:formatCode>
                <c:ptCount val="22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0-481C-B5E1-B3C970B882C4}"/>
            </c:ext>
          </c:extLst>
        </c:ser>
        <c:ser>
          <c:idx val="1"/>
          <c:order val="1"/>
          <c:tx>
            <c:strRef>
              <c:f>Data!$AB$6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Data!$AA$7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Data!$AB$7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E0-481C-B5E1-B3C970B882C4}"/>
            </c:ext>
          </c:extLst>
        </c:ser>
        <c:ser>
          <c:idx val="2"/>
          <c:order val="2"/>
          <c:tx>
            <c:strRef>
              <c:f>Data!$AB$9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Data!$AA$10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Data!$AB$10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0-481C-B5E1-B3C970B882C4}"/>
            </c:ext>
          </c:extLst>
        </c:ser>
        <c:ser>
          <c:idx val="3"/>
          <c:order val="3"/>
          <c:tx>
            <c:v>USGS49-ENT mixtures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Data!$AB$3:$AB$4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Data!$AC$3:$AC$4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E0-481C-B5E1-B3C970B8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  <c:max val="-4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  <c:max val="-4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nominal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Data!$AE$39</c:f>
              <c:strCache>
                <c:ptCount val="1"/>
                <c:pt idx="0">
                  <c:v>Δ18O shift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9C7EC45-55F7-4206-BA0C-38E33FD89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7FF-4A8C-88D2-280FA21AD0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52F7CC-A078-483B-A254-62898B4EC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7FF-4A8C-88D2-280FA21AD0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92ED8C-3084-4EA8-97BF-9FD00DBC4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FF-4A8C-88D2-280FA21AD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Data!$AC$40:$AC$42</c:f>
              <c:numCache>
                <c:formatCode>General</c:formatCode>
                <c:ptCount val="3"/>
                <c:pt idx="0">
                  <c:v>3</c:v>
                </c:pt>
                <c:pt idx="1">
                  <c:v>19</c:v>
                </c:pt>
                <c:pt idx="2">
                  <c:v>7</c:v>
                </c:pt>
              </c:numCache>
            </c:numRef>
          </c:xVal>
          <c:yVal>
            <c:numRef>
              <c:f>Data!$AE$40:$AE$42</c:f>
              <c:numCache>
                <c:formatCode>0.00</c:formatCode>
                <c:ptCount val="3"/>
                <c:pt idx="0">
                  <c:v>23.355921852803601</c:v>
                </c:pt>
                <c:pt idx="1">
                  <c:v>67.327027575730057</c:v>
                </c:pt>
                <c:pt idx="2">
                  <c:v>55.839943118674036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Data!$AB$40:$AB$42</c15:f>
                <c15:dlblRangeCache>
                  <c:ptCount val="3"/>
                  <c:pt idx="0">
                    <c:v>Z_014</c:v>
                  </c:pt>
                  <c:pt idx="1">
                    <c:v>Z_015</c:v>
                  </c:pt>
                  <c:pt idx="2">
                    <c:v>Z_016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7FF-4A8C-88D2-280FA21AD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01935"/>
        <c:axId val="400902895"/>
      </c:scatterChart>
      <c:valAx>
        <c:axId val="40090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</a:t>
                </a:r>
                <a:r>
                  <a:rPr lang="en-US" baseline="0"/>
                  <a:t> (d)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2895"/>
        <c:crosses val="autoZero"/>
        <c:crossBetween val="midCat"/>
      </c:valAx>
      <c:valAx>
        <c:axId val="4009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l-GR" altLang="ja-JP"/>
                  <a:t>δ18</a:t>
                </a:r>
                <a:r>
                  <a:rPr lang="en-US" altLang="ja-JP"/>
                  <a:t>OFluid-</a:t>
                </a:r>
                <a:r>
                  <a:rPr lang="el-GR" altLang="ja-JP"/>
                  <a:t>δ18</a:t>
                </a:r>
                <a:r>
                  <a:rPr lang="en-US" altLang="ja-JP"/>
                  <a:t>OUSGS49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Data!$AF$39</c:f>
              <c:strCache>
                <c:ptCount val="1"/>
                <c:pt idx="0">
                  <c:v>% replacement image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Data!$AE$40:$AE$42</c:f>
              <c:numCache>
                <c:formatCode>0.00</c:formatCode>
                <c:ptCount val="3"/>
                <c:pt idx="0">
                  <c:v>23.355921852803601</c:v>
                </c:pt>
                <c:pt idx="1">
                  <c:v>67.327027575730057</c:v>
                </c:pt>
                <c:pt idx="2">
                  <c:v>55.839943118674036</c:v>
                </c:pt>
              </c:numCache>
            </c:numRef>
          </c:xVal>
          <c:yVal>
            <c:numRef>
              <c:f>Data!$AF$40:$AF$42</c:f>
              <c:numCache>
                <c:formatCode>General</c:formatCode>
                <c:ptCount val="3"/>
                <c:pt idx="0">
                  <c:v>15.29</c:v>
                </c:pt>
                <c:pt idx="1">
                  <c:v>18.47</c:v>
                </c:pt>
                <c:pt idx="2">
                  <c:v>17.8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2-4A5C-AE9F-EDF81629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187663"/>
        <c:axId val="1917186223"/>
      </c:scatterChart>
      <c:valAx>
        <c:axId val="191718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δ18</a:t>
                </a:r>
                <a:r>
                  <a:rPr lang="en-US"/>
                  <a:t>Ofluid-</a:t>
                </a:r>
                <a:r>
                  <a:rPr lang="el-GR"/>
                  <a:t>δ18</a:t>
                </a:r>
                <a:r>
                  <a:rPr lang="en-US"/>
                  <a:t>OUSGS49</a:t>
                </a:r>
              </a:p>
            </c:rich>
          </c:tx>
          <c:layout>
            <c:manualLayout>
              <c:xMode val="edge"/>
              <c:yMode val="edge"/>
              <c:x val="0.43217936529658491"/>
              <c:y val="0.87321153180143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6223"/>
        <c:crosses val="autoZero"/>
        <c:crossBetween val="midCat"/>
      </c:valAx>
      <c:valAx>
        <c:axId val="1917186223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replacement image analysis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15875</xdr:colOff>
      <xdr:row>2</xdr:row>
      <xdr:rowOff>22225</xdr:rowOff>
    </xdr:from>
    <xdr:to>
      <xdr:col>34</xdr:col>
      <xdr:colOff>520700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33E89-E8E1-4BF9-B774-576A45835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17</xdr:row>
      <xdr:rowOff>0</xdr:rowOff>
    </xdr:from>
    <xdr:to>
      <xdr:col>34</xdr:col>
      <xdr:colOff>508000</xdr:colOff>
      <xdr:row>30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42AC6B-1191-4231-B0A7-029B70BCB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466725</xdr:colOff>
      <xdr:row>32</xdr:row>
      <xdr:rowOff>76200</xdr:rowOff>
    </xdr:from>
    <xdr:to>
      <xdr:col>33</xdr:col>
      <xdr:colOff>342900</xdr:colOff>
      <xdr:row>37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44C2EE-5FFD-1771-F918-65FC3F884BD6}"/>
            </a:ext>
          </a:extLst>
        </xdr:cNvPr>
        <xdr:cNvSpPr txBox="1"/>
      </xdr:nvSpPr>
      <xdr:spPr>
        <a:xfrm>
          <a:off x="19488150" y="6657975"/>
          <a:ext cx="39243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USGS49: d18O = -50.55,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dD = -394.7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ENT: d18O = -6.59, dD =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=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-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30</xdr:col>
      <xdr:colOff>347662</xdr:colOff>
      <xdr:row>51</xdr:row>
      <xdr:rowOff>176212</xdr:rowOff>
    </xdr:from>
    <xdr:to>
      <xdr:col>36</xdr:col>
      <xdr:colOff>61912</xdr:colOff>
      <xdr:row>65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1A9556-B8AC-C2C4-24D2-6BB04F70B3EC}"/>
            </a:ext>
            <a:ext uri="{147F2762-F138-4A5C-976F-8EAC2B608ADB}">
              <a16:predDERef xmlns:a16="http://schemas.microsoft.com/office/drawing/2014/main" pred="{3E44C2EE-5FFD-1771-F918-65FC3F884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471487</xdr:colOff>
      <xdr:row>52</xdr:row>
      <xdr:rowOff>176212</xdr:rowOff>
    </xdr:from>
    <xdr:to>
      <xdr:col>42</xdr:col>
      <xdr:colOff>185737</xdr:colOff>
      <xdr:row>66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DEA329-2BFA-AD1A-F67D-6916999E6190}"/>
            </a:ext>
            <a:ext uri="{147F2762-F138-4A5C-976F-8EAC2B608ADB}">
              <a16:predDERef xmlns:a16="http://schemas.microsoft.com/office/drawing/2014/main" pred="{071A9556-B8AC-C2C4-24D2-6BB04F70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yers, John C" id="{640ACE1A-6E73-4BB2-A098-705CB59CC362}" userId="Ayers, John C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602AC-8777-4406-8AD9-A8A449D58C06}" name="Table1" displayName="Table1" ref="A1:W12" totalsRowShown="0" headerRowDxfId="24" dataDxfId="23">
  <sortState xmlns:xlrd2="http://schemas.microsoft.com/office/spreadsheetml/2017/richdata2" ref="A2:W12">
    <sortCondition ref="A2:A12"/>
  </sortState>
  <tableColumns count="23">
    <tableColumn id="1" xr3:uid="{C430E000-5021-4B90-8D12-65413EDB311A}" name="Sample ID" dataDxfId="22"/>
    <tableColumn id="2" xr3:uid="{BDC69A27-58B6-405D-ADAF-6B499553AE4C}" name="Analysis_Date_Time" dataDxfId="21"/>
    <tableColumn id="3" xr3:uid="{8B413B78-DEA2-467D-8F54-EE47A57E2F42}" name="d2H of injections" dataDxfId="20"/>
    <tableColumn id="4" xr3:uid="{9D52C12C-7B6C-4CF1-BE71-DAC13F7357EA}" name="d2H injections St Dev" dataDxfId="19"/>
    <tableColumn id="5" xr3:uid="{7BC41BDA-8D4C-4100-AEEC-49CF7ED813E8}" name="d2H of Analyses" dataDxfId="18"/>
    <tableColumn id="6" xr3:uid="{CA594E93-67E0-4B29-AFF0-E76E37C28C3E}" name="d2H injections St Dev2" dataDxfId="17"/>
    <tableColumn id="7" xr3:uid="{B2F9BE76-76B0-4B80-890D-E338006756ED}" name="d18O of injections" dataDxfId="16"/>
    <tableColumn id="8" xr3:uid="{E70AA3D3-4F47-4218-A350-403A077608A7}" name="d18O injections St Dev" dataDxfId="15"/>
    <tableColumn id="9" xr3:uid="{6A11AFF7-83F3-4154-A147-76FD72347D57}" name="M Fl (mg)" dataDxfId="14"/>
    <tableColumn id="10" xr3:uid="{61D44B63-B8DE-4981-A9BE-A73B21786560}" name="M USGS-49 (mg)" dataDxfId="13"/>
    <tableColumn id="11" xr3:uid="{E757707E-01BE-4B8A-BEFA-B39F17B94833}" name="M ENT (mg)" dataDxfId="12"/>
    <tableColumn id="12" xr3:uid="{B365A828-7695-4AEB-ADFC-20AE49C16279}" name="XENT" dataDxfId="11">
      <calculatedColumnFormula>K2/(K2+I2)</calculatedColumnFormula>
    </tableColumn>
    <tableColumn id="13" xr3:uid="{02FBBFC6-9CE0-4881-8921-AE754BDBD41D}" name="d18O Meas" dataDxfId="10">
      <calculatedColumnFormula>G2</calculatedColumnFormula>
    </tableColumn>
    <tableColumn id="14" xr3:uid="{01E537F3-3764-4A6F-978D-85B126A61C54}" name="d18O Nominal" dataDxfId="9">
      <calculatedColumnFormula>L2*ENT+(1-L2)*USGS49</calculatedColumnFormula>
    </tableColumn>
    <tableColumn id="15" xr3:uid="{C06B8D4E-A9DE-4E12-B764-3FDF0004E42C}" name="(18O/16O)soln" dataDxfId="8"/>
    <tableColumn id="16" xr3:uid="{3063E7B5-DA1F-49C5-BB6E-6D4080818523}" name="d18O Fl" dataDxfId="7">
      <calculatedColumnFormula>((I2+K2)*M2-K2*ENT)/I2</calculatedColumnFormula>
    </tableColumn>
    <tableColumn id="17" xr3:uid="{34B36D4D-F73B-4EE2-8B9C-BB7A5A515395}" name="Δ18O Fl" dataDxfId="6">
      <calculatedColumnFormula>P2-USGS49</calculatedColumnFormula>
    </tableColumn>
    <tableColumn id="18" xr3:uid="{35036731-3608-4409-83D9-3E29700BD568}" name="d18O SiO2" dataDxfId="5"/>
    <tableColumn id="19" xr3:uid="{0E5F1FA0-9FB5-4D84-8000-5D351EA3CF71}" name="M SiO2 (mg)" dataDxfId="4"/>
    <tableColumn id="20" xr3:uid="{60CA6D96-81C9-40FF-B252-325ED036F9A2}" name="M Qz sat. (mg)" dataDxfId="3"/>
    <tableColumn id="21" xr3:uid="{0BEE95E5-1FF0-4510-92A6-1AA024AC1DF0}" name="MO,MTZ (g)" dataDxfId="2">
      <calculatedColumnFormula>(((16/18)*J2/1000+(32/61)*S2/1000)*P2-(16/18)*(J2/1000)*USGS49-(32/61)*(S2/1000)*R2)/4.93</calculatedColumnFormula>
    </tableColumn>
    <tableColumn id="22" xr3:uid="{C0293D74-3D47-4A5A-BB70-2C26CBCB6420}" name="MMTZ (g)" dataDxfId="1">
      <calculatedColumnFormula>U2*183.3/(4*16)</calculatedColumnFormula>
    </tableColumn>
    <tableColumn id="23" xr3:uid="{854F6A72-A835-42D2-BF78-E44552F8D86F}" name="Solb (molality)" dataDxfId="0">
      <calculatedColumnFormula>1000000*V2/183.3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5-06-24T14:46:07.25" personId="{640ACE1A-6E73-4BB2-A098-705CB59CC362}" id="{D0DFB63B-DE18-4B8C-9DD2-ED8DA8EAEC66}">
    <text xml:space="preserve">The mass of oxygen contributed to the fluid by dissolution of zircon: 
MO,MTZ = (MO,fl*d18Ofl - MO,USGS49d18OUSGS49 - MO,SiO2d18OSiO2)/d18OMTZ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" dT="2025-06-24T14:46:07.25" personId="{640ACE1A-6E73-4BB2-A098-705CB59CC362}" id="{D901682E-3CC2-48BC-8F1A-FC77785A2010}">
    <text xml:space="preserve">The mass of oxygen contributed to the fluid by dissolution of zircon: 
MO,MTZ = (MO,fl*d18Ofl - MO,USGS49d18OUSGS49 - MO,SiO2d18OSiO2)/d18OMTZ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A691-E90C-C649-8347-6B49159F22E4}">
  <dimension ref="A1:AF72"/>
  <sheetViews>
    <sheetView zoomScale="88" zoomScaleNormal="88" workbookViewId="0">
      <pane ySplit="1" topLeftCell="A52" activePane="bottomLeft" state="frozen"/>
      <selection pane="bottomLeft" activeCell="B1" sqref="B1:J1048576"/>
    </sheetView>
  </sheetViews>
  <sheetFormatPr defaultColWidth="10.58203125" defaultRowHeight="15.5"/>
  <cols>
    <col min="2" max="2" width="22.08203125" bestFit="1" customWidth="1"/>
    <col min="3" max="3" width="18.08203125" customWidth="1"/>
    <col min="4" max="4" width="13.75" customWidth="1"/>
    <col min="5" max="5" width="17.08203125" customWidth="1"/>
    <col min="6" max="6" width="13" customWidth="1"/>
    <col min="7" max="7" width="17.08203125" customWidth="1"/>
    <col min="8" max="8" width="14.75" customWidth="1"/>
    <col min="9" max="13" width="18.08203125" customWidth="1"/>
    <col min="14" max="14" width="14" bestFit="1" customWidth="1"/>
    <col min="15" max="15" width="14" customWidth="1"/>
  </cols>
  <sheetData>
    <row r="1" spans="1:29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3" t="s">
        <v>13</v>
      </c>
      <c r="P1" s="10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/>
      <c r="Z1" s="11"/>
    </row>
    <row r="2" spans="1:29">
      <c r="A2" t="s">
        <v>23</v>
      </c>
      <c r="B2" t="s">
        <v>24</v>
      </c>
      <c r="C2" s="2">
        <v>45485.791412037041</v>
      </c>
      <c r="D2">
        <v>-38.83</v>
      </c>
      <c r="E2">
        <v>0.08</v>
      </c>
      <c r="F2">
        <v>-38.83</v>
      </c>
      <c r="H2">
        <v>-6.34</v>
      </c>
      <c r="I2">
        <v>0.01</v>
      </c>
      <c r="N2">
        <v>-6.34</v>
      </c>
      <c r="AA2" t="s">
        <v>25</v>
      </c>
      <c r="AB2" t="s">
        <v>26</v>
      </c>
    </row>
    <row r="3" spans="1:29">
      <c r="A3" t="s">
        <v>27</v>
      </c>
      <c r="B3" t="s">
        <v>28</v>
      </c>
      <c r="C3" s="2">
        <v>45485.992789351847</v>
      </c>
      <c r="D3">
        <v>-394.7</v>
      </c>
      <c r="E3">
        <v>0.99</v>
      </c>
      <c r="F3">
        <v>-394.7</v>
      </c>
      <c r="G3">
        <v>0</v>
      </c>
      <c r="H3">
        <v>-50.55</v>
      </c>
      <c r="I3">
        <v>7.0000000000000007E-2</v>
      </c>
      <c r="N3">
        <v>-50.55</v>
      </c>
      <c r="AA3" s="4" t="s">
        <v>29</v>
      </c>
      <c r="AB3">
        <v>-50.55</v>
      </c>
      <c r="AC3">
        <v>-50.55</v>
      </c>
    </row>
    <row r="4" spans="1:29">
      <c r="A4" t="s">
        <v>27</v>
      </c>
      <c r="B4" t="s">
        <v>28</v>
      </c>
      <c r="C4" s="2">
        <v>45487.153449074067</v>
      </c>
      <c r="D4">
        <v>-394.7</v>
      </c>
      <c r="E4">
        <v>0.62</v>
      </c>
      <c r="F4">
        <v>-394.7</v>
      </c>
      <c r="G4">
        <v>0</v>
      </c>
      <c r="H4">
        <v>-50.55</v>
      </c>
      <c r="I4">
        <v>0.04</v>
      </c>
      <c r="N4">
        <v>-50.55</v>
      </c>
      <c r="AA4" s="4" t="s">
        <v>30</v>
      </c>
      <c r="AB4">
        <v>-6.59</v>
      </c>
      <c r="AC4">
        <v>-6.59</v>
      </c>
    </row>
    <row r="5" spans="1:29">
      <c r="A5" t="s">
        <v>27</v>
      </c>
      <c r="B5" t="s">
        <v>28</v>
      </c>
      <c r="C5" s="2">
        <v>45488.362951388888</v>
      </c>
      <c r="D5">
        <v>-394.7</v>
      </c>
      <c r="E5">
        <v>0.65</v>
      </c>
      <c r="F5">
        <v>-394.7</v>
      </c>
      <c r="G5">
        <v>0</v>
      </c>
      <c r="H5">
        <v>-50.55</v>
      </c>
      <c r="I5">
        <v>0.04</v>
      </c>
      <c r="N5">
        <v>-50.55</v>
      </c>
    </row>
    <row r="6" spans="1:29">
      <c r="A6" t="s">
        <v>27</v>
      </c>
      <c r="B6" t="s">
        <v>28</v>
      </c>
      <c r="C6" s="2">
        <v>45489.521365740737</v>
      </c>
      <c r="D6">
        <v>-394.7</v>
      </c>
      <c r="E6">
        <v>0.57999999999999996</v>
      </c>
      <c r="F6">
        <v>-394.7</v>
      </c>
      <c r="G6">
        <v>0</v>
      </c>
      <c r="H6">
        <v>-50.55</v>
      </c>
      <c r="I6">
        <v>0.05</v>
      </c>
      <c r="N6">
        <v>-50.55</v>
      </c>
      <c r="AA6" s="4" t="s">
        <v>31</v>
      </c>
      <c r="AB6" s="4" t="s">
        <v>32</v>
      </c>
    </row>
    <row r="7" spans="1:29">
      <c r="A7" t="s">
        <v>27</v>
      </c>
      <c r="B7" t="s">
        <v>28</v>
      </c>
      <c r="C7" s="2">
        <v>45490.427916666667</v>
      </c>
      <c r="D7">
        <v>-394.7</v>
      </c>
      <c r="E7">
        <v>0.66</v>
      </c>
      <c r="F7">
        <v>-394.7</v>
      </c>
      <c r="G7">
        <v>0</v>
      </c>
      <c r="H7">
        <v>-50.55</v>
      </c>
      <c r="I7">
        <v>0.04</v>
      </c>
      <c r="N7">
        <v>-50.55</v>
      </c>
      <c r="AA7">
        <v>-50.55</v>
      </c>
      <c r="AB7">
        <v>-50.55</v>
      </c>
    </row>
    <row r="8" spans="1:29">
      <c r="A8" t="s">
        <v>27</v>
      </c>
      <c r="B8" t="s">
        <v>28</v>
      </c>
      <c r="C8" s="2">
        <v>45491.589259259257</v>
      </c>
      <c r="D8">
        <v>-394.7</v>
      </c>
      <c r="E8">
        <v>0.61</v>
      </c>
      <c r="F8">
        <v>-394.7</v>
      </c>
      <c r="G8">
        <v>0</v>
      </c>
      <c r="H8">
        <v>-50.55</v>
      </c>
      <c r="I8">
        <v>0.03</v>
      </c>
      <c r="N8">
        <v>-50.55</v>
      </c>
    </row>
    <row r="9" spans="1:29">
      <c r="A9" t="s">
        <v>27</v>
      </c>
      <c r="B9" t="s">
        <v>28</v>
      </c>
      <c r="C9" s="2">
        <v>45492.799502314818</v>
      </c>
      <c r="D9">
        <v>-394.7</v>
      </c>
      <c r="E9">
        <v>0.64</v>
      </c>
      <c r="F9">
        <v>-394.7</v>
      </c>
      <c r="G9">
        <v>0</v>
      </c>
      <c r="H9">
        <v>-50.55</v>
      </c>
      <c r="I9">
        <v>0.04</v>
      </c>
      <c r="N9">
        <v>-50.55</v>
      </c>
      <c r="AA9" s="4" t="s">
        <v>33</v>
      </c>
      <c r="AB9" s="9" t="s">
        <v>34</v>
      </c>
    </row>
    <row r="10" spans="1:29">
      <c r="A10" t="s">
        <v>27</v>
      </c>
      <c r="B10" t="s">
        <v>28</v>
      </c>
      <c r="C10" s="2">
        <v>45493.958749999998</v>
      </c>
      <c r="D10">
        <v>-394.7</v>
      </c>
      <c r="E10">
        <v>0.73</v>
      </c>
      <c r="F10">
        <v>-394.7</v>
      </c>
      <c r="G10">
        <v>0</v>
      </c>
      <c r="H10">
        <v>-50.55</v>
      </c>
      <c r="I10">
        <v>0.06</v>
      </c>
      <c r="N10">
        <v>-50.55</v>
      </c>
      <c r="AA10">
        <v>-6.59</v>
      </c>
      <c r="AB10">
        <v>-6.59</v>
      </c>
    </row>
    <row r="11" spans="1:29">
      <c r="A11" t="s">
        <v>27</v>
      </c>
      <c r="B11" t="s">
        <v>28</v>
      </c>
      <c r="C11" s="2">
        <v>45494.866099537037</v>
      </c>
      <c r="D11">
        <v>-394.7</v>
      </c>
      <c r="E11">
        <v>0.77</v>
      </c>
      <c r="F11">
        <v>-394.7</v>
      </c>
      <c r="G11">
        <v>0</v>
      </c>
      <c r="H11">
        <v>-50.55</v>
      </c>
      <c r="I11">
        <v>0.09</v>
      </c>
      <c r="N11">
        <v>-50.55</v>
      </c>
    </row>
    <row r="12" spans="1:29">
      <c r="A12" t="s">
        <v>35</v>
      </c>
      <c r="B12" t="s">
        <v>36</v>
      </c>
      <c r="C12" s="2">
        <v>45486.144259259258</v>
      </c>
      <c r="D12">
        <v>32.799999999999997</v>
      </c>
      <c r="E12">
        <v>0.16</v>
      </c>
      <c r="F12">
        <v>32.799999999999997</v>
      </c>
      <c r="G12">
        <v>0</v>
      </c>
      <c r="H12">
        <v>4.95</v>
      </c>
      <c r="I12">
        <v>0.02</v>
      </c>
      <c r="N12">
        <v>4.95</v>
      </c>
      <c r="AA12" t="s">
        <v>37</v>
      </c>
      <c r="AB12">
        <f>0.0020052</f>
        <v>2.0052E-3</v>
      </c>
    </row>
    <row r="13" spans="1:29">
      <c r="A13" t="s">
        <v>35</v>
      </c>
      <c r="B13" t="s">
        <v>36</v>
      </c>
      <c r="C13" s="2">
        <v>45487.254317129627</v>
      </c>
      <c r="D13">
        <v>32.799999999999997</v>
      </c>
      <c r="E13">
        <v>0.4</v>
      </c>
      <c r="F13">
        <v>32.799999999999997</v>
      </c>
      <c r="G13">
        <v>0</v>
      </c>
      <c r="H13">
        <v>4.95</v>
      </c>
      <c r="I13">
        <v>0.04</v>
      </c>
      <c r="N13">
        <v>4.95</v>
      </c>
    </row>
    <row r="14" spans="1:29">
      <c r="A14" t="s">
        <v>35</v>
      </c>
      <c r="B14" t="s">
        <v>36</v>
      </c>
      <c r="C14" s="2">
        <v>45488.463692129633</v>
      </c>
      <c r="D14">
        <v>32.799999999999997</v>
      </c>
      <c r="E14">
        <v>0.43</v>
      </c>
      <c r="F14">
        <v>32.799999999999997</v>
      </c>
      <c r="G14">
        <v>0</v>
      </c>
      <c r="H14">
        <v>4.95</v>
      </c>
      <c r="I14">
        <v>0.03</v>
      </c>
      <c r="N14">
        <v>4.95</v>
      </c>
    </row>
    <row r="15" spans="1:29">
      <c r="A15" t="s">
        <v>35</v>
      </c>
      <c r="B15" t="s">
        <v>36</v>
      </c>
      <c r="C15" s="2">
        <v>45489.57172453704</v>
      </c>
      <c r="D15">
        <v>32.799999999999997</v>
      </c>
      <c r="E15">
        <v>1.03</v>
      </c>
      <c r="F15">
        <v>32.799999999999997</v>
      </c>
      <c r="G15">
        <v>0</v>
      </c>
      <c r="H15">
        <v>4.95</v>
      </c>
      <c r="I15">
        <v>0.06</v>
      </c>
      <c r="N15">
        <v>4.95</v>
      </c>
    </row>
    <row r="16" spans="1:29">
      <c r="A16" t="s">
        <v>35</v>
      </c>
      <c r="B16" t="s">
        <v>36</v>
      </c>
      <c r="C16" s="2">
        <v>45490.57949074074</v>
      </c>
      <c r="D16">
        <v>32.799999999999997</v>
      </c>
      <c r="E16">
        <v>0.18</v>
      </c>
      <c r="F16">
        <v>32.799999999999997</v>
      </c>
      <c r="G16">
        <v>0</v>
      </c>
      <c r="H16">
        <v>4.95</v>
      </c>
      <c r="I16">
        <v>0.02</v>
      </c>
      <c r="N16">
        <v>4.95</v>
      </c>
    </row>
    <row r="17" spans="1:26">
      <c r="A17" t="s">
        <v>35</v>
      </c>
      <c r="B17" t="s">
        <v>36</v>
      </c>
      <c r="C17" s="2">
        <v>45491.69017361111</v>
      </c>
      <c r="D17">
        <v>32.799999999999997</v>
      </c>
      <c r="E17">
        <v>0.37</v>
      </c>
      <c r="F17">
        <v>32.799999999999997</v>
      </c>
      <c r="G17">
        <v>0</v>
      </c>
      <c r="H17">
        <v>4.95</v>
      </c>
      <c r="I17">
        <v>0.03</v>
      </c>
      <c r="N17">
        <v>4.95</v>
      </c>
    </row>
    <row r="18" spans="1:26">
      <c r="A18" t="s">
        <v>35</v>
      </c>
      <c r="B18" t="s">
        <v>36</v>
      </c>
      <c r="C18" s="2">
        <v>45492.900300925918</v>
      </c>
      <c r="D18">
        <v>32.799999999999997</v>
      </c>
      <c r="E18">
        <v>0.31</v>
      </c>
      <c r="F18">
        <v>32.799999999999997</v>
      </c>
      <c r="G18">
        <v>0</v>
      </c>
      <c r="H18">
        <v>4.95</v>
      </c>
      <c r="I18">
        <v>0.04</v>
      </c>
      <c r="N18">
        <v>4.95</v>
      </c>
    </row>
    <row r="19" spans="1:26">
      <c r="A19" t="s">
        <v>35</v>
      </c>
      <c r="B19" t="s">
        <v>36</v>
      </c>
      <c r="C19" s="2">
        <v>45494.009155092594</v>
      </c>
      <c r="D19">
        <v>32.799999999999997</v>
      </c>
      <c r="E19">
        <v>1.04</v>
      </c>
      <c r="F19">
        <v>32.799999999999997</v>
      </c>
      <c r="G19">
        <v>0</v>
      </c>
      <c r="H19">
        <v>4.95</v>
      </c>
      <c r="I19">
        <v>0.09</v>
      </c>
      <c r="N19">
        <v>4.95</v>
      </c>
    </row>
    <row r="20" spans="1:26">
      <c r="A20" t="s">
        <v>35</v>
      </c>
      <c r="B20" t="s">
        <v>36</v>
      </c>
      <c r="C20" s="2">
        <v>45495.017812500002</v>
      </c>
      <c r="D20">
        <v>32.799999999999997</v>
      </c>
      <c r="E20">
        <v>0.14000000000000001</v>
      </c>
      <c r="F20">
        <v>32.799999999999997</v>
      </c>
      <c r="G20">
        <v>0</v>
      </c>
      <c r="H20">
        <v>4.95</v>
      </c>
      <c r="I20">
        <v>0.02</v>
      </c>
      <c r="N20">
        <v>4.95</v>
      </c>
    </row>
    <row r="21" spans="1:26">
      <c r="A21" t="s">
        <v>38</v>
      </c>
      <c r="B21" t="s">
        <v>39</v>
      </c>
      <c r="C21" s="2">
        <v>45485.841666666667</v>
      </c>
      <c r="D21">
        <v>-38.659999999999997</v>
      </c>
      <c r="E21">
        <v>0.04</v>
      </c>
      <c r="F21">
        <v>-38.65</v>
      </c>
      <c r="G21">
        <v>0.02</v>
      </c>
      <c r="H21">
        <v>-6.35</v>
      </c>
      <c r="I21">
        <v>0.03</v>
      </c>
      <c r="N21">
        <v>-6.34</v>
      </c>
    </row>
    <row r="22" spans="1:26">
      <c r="A22" t="s">
        <v>38</v>
      </c>
      <c r="B22" t="s">
        <v>39</v>
      </c>
      <c r="C22" s="2">
        <v>45485.891921296286</v>
      </c>
      <c r="D22">
        <v>-38.630000000000003</v>
      </c>
      <c r="E22">
        <v>0.05</v>
      </c>
      <c r="F22">
        <v>-38.65</v>
      </c>
      <c r="G22">
        <v>0.02</v>
      </c>
      <c r="H22">
        <v>-6.32</v>
      </c>
      <c r="I22">
        <v>0.02</v>
      </c>
      <c r="N22">
        <v>-6.34</v>
      </c>
    </row>
    <row r="23" spans="1:26">
      <c r="A23" t="s">
        <v>38</v>
      </c>
      <c r="B23" t="s">
        <v>39</v>
      </c>
      <c r="C23" s="2">
        <v>45485.942349537043</v>
      </c>
      <c r="D23">
        <v>-38.67</v>
      </c>
      <c r="E23">
        <v>0.04</v>
      </c>
      <c r="F23">
        <v>-38.65</v>
      </c>
      <c r="G23">
        <v>0.02</v>
      </c>
      <c r="H23">
        <v>-6.36</v>
      </c>
      <c r="I23">
        <v>0.01</v>
      </c>
      <c r="N23">
        <v>-6.34</v>
      </c>
    </row>
    <row r="24" spans="1:26">
      <c r="A24" t="s">
        <v>40</v>
      </c>
      <c r="B24" t="s">
        <v>41</v>
      </c>
      <c r="C24" s="2">
        <v>45486.169849537036</v>
      </c>
      <c r="D24">
        <v>-40.450000000000003</v>
      </c>
      <c r="E24">
        <v>0.13</v>
      </c>
      <c r="F24">
        <v>-40.340000000000003</v>
      </c>
      <c r="G24">
        <v>0.16</v>
      </c>
      <c r="H24">
        <v>-7.71</v>
      </c>
      <c r="I24">
        <v>0.03</v>
      </c>
      <c r="J24" s="5">
        <v>104.0568</v>
      </c>
      <c r="K24" s="17">
        <v>120</v>
      </c>
      <c r="L24">
        <v>2400</v>
      </c>
      <c r="M24" s="7">
        <f>L24/(L24+J24)</f>
        <v>0.9584447125959763</v>
      </c>
      <c r="N24">
        <v>-7.7</v>
      </c>
      <c r="O24" s="8">
        <f>M24*ENT+(1-M24)*USGS49</f>
        <v>-8.4167704342808811</v>
      </c>
      <c r="P24">
        <f t="shared" ref="P24:P59" si="0">N24*0.001*AB$12+AB$12</f>
        <v>1.9897599599999999E-3</v>
      </c>
      <c r="Q24" s="8">
        <f>((J24+L24)*N24-L24*ENT)/J24</f>
        <v>-33.3014023110455</v>
      </c>
      <c r="R24" s="8">
        <f>Q24-USGS49</f>
        <v>17.248597688954497</v>
      </c>
      <c r="S24" s="8">
        <v>-19.25</v>
      </c>
      <c r="T24" s="13">
        <f>115.9289-114.8693</f>
        <v>1.0596000000000032</v>
      </c>
      <c r="U24" s="15">
        <v>1.488</v>
      </c>
      <c r="V24" s="8">
        <f t="shared" ref="V24:V48" si="1">(((16/18)*K24/1000+(32/61)*T24/1000)*Q24-(16/18)*(K24/1000)*USGS49-(32/61)*(T24/1000)*S24)/4.93</f>
        <v>0.37161052080278939</v>
      </c>
      <c r="W24" s="8">
        <f>V24*183.3/(4*16)</f>
        <v>1.064315757236739</v>
      </c>
      <c r="X24" s="8">
        <f>1000000*W24/183.3</f>
        <v>5806.4143875435839</v>
      </c>
      <c r="Y24" s="8"/>
      <c r="Z24" s="8"/>
    </row>
    <row r="25" spans="1:26">
      <c r="A25" t="s">
        <v>40</v>
      </c>
      <c r="B25" t="s">
        <v>41</v>
      </c>
      <c r="C25" s="2">
        <v>45490.605092592603</v>
      </c>
      <c r="D25">
        <v>-40.22</v>
      </c>
      <c r="E25">
        <v>0.42</v>
      </c>
      <c r="F25">
        <v>-40.340000000000003</v>
      </c>
      <c r="G25">
        <v>0.16</v>
      </c>
      <c r="H25">
        <v>-7.69</v>
      </c>
      <c r="I25">
        <v>0.04</v>
      </c>
      <c r="J25" s="5">
        <v>104.0568</v>
      </c>
      <c r="K25" s="17">
        <v>120</v>
      </c>
      <c r="L25">
        <v>2400</v>
      </c>
      <c r="M25" s="7">
        <f t="shared" ref="M25:M59" si="2">L25/(L25+J25)</f>
        <v>0.9584447125959763</v>
      </c>
      <c r="N25">
        <v>-7.7</v>
      </c>
      <c r="O25" s="8">
        <f t="shared" ref="O25:O45" si="3">M25*ENT+(1-M25)*USGS49</f>
        <v>-8.4167704342808811</v>
      </c>
      <c r="P25">
        <f t="shared" si="0"/>
        <v>1.9897599599999999E-3</v>
      </c>
      <c r="Q25" s="8">
        <f>((J25+L25)*N25-L25*ENT)/J25</f>
        <v>-33.3014023110455</v>
      </c>
      <c r="R25" s="8">
        <f>Q25-USGS49</f>
        <v>17.248597688954497</v>
      </c>
      <c r="S25" s="8">
        <v>-19.25</v>
      </c>
      <c r="T25" s="13">
        <f>115.9289-114.8693</f>
        <v>1.0596000000000032</v>
      </c>
      <c r="U25" s="15">
        <v>1.488</v>
      </c>
      <c r="V25" s="8">
        <f t="shared" si="1"/>
        <v>0.37161052080278939</v>
      </c>
      <c r="W25" s="8">
        <f>V25*183.3/(4*16)</f>
        <v>1.064315757236739</v>
      </c>
      <c r="X25" s="8">
        <f>1000000*W25/183.3</f>
        <v>5806.4143875435839</v>
      </c>
      <c r="Y25" s="8"/>
      <c r="Z25" s="8"/>
    </row>
    <row r="26" spans="1:26">
      <c r="A26" t="s">
        <v>42</v>
      </c>
      <c r="B26" t="s">
        <v>43</v>
      </c>
      <c r="C26" s="2">
        <v>45486.220347222217</v>
      </c>
      <c r="D26">
        <v>-44.86</v>
      </c>
      <c r="E26">
        <v>0.08</v>
      </c>
      <c r="F26">
        <v>-44.75</v>
      </c>
      <c r="G26">
        <v>0.16</v>
      </c>
      <c r="H26">
        <v>-7.71</v>
      </c>
      <c r="I26">
        <v>0.01</v>
      </c>
      <c r="J26" s="5">
        <f>1936.391-1798.5588</f>
        <v>137.83220000000006</v>
      </c>
      <c r="K26" s="17">
        <v>120</v>
      </c>
      <c r="L26" s="6">
        <f>(4.3729-1.929)*1000</f>
        <v>2443.8999999999992</v>
      </c>
      <c r="M26" s="7">
        <f t="shared" si="2"/>
        <v>0.94661251077861586</v>
      </c>
      <c r="N26">
        <v>-7.69</v>
      </c>
      <c r="O26" s="8">
        <f t="shared" si="3"/>
        <v>-8.9369140261720457</v>
      </c>
      <c r="P26">
        <f t="shared" si="0"/>
        <v>1.989780012E-3</v>
      </c>
      <c r="Q26" s="8">
        <f t="shared" ref="Q26:Q48" si="4">((J26+L26)*N26-L26*ENT)/J26</f>
        <v>-27.194078147196397</v>
      </c>
      <c r="R26" s="8">
        <f t="shared" ref="R26:R48" si="5">Q26-USGS49</f>
        <v>23.355921852803601</v>
      </c>
      <c r="S26" s="8">
        <v>-19.25</v>
      </c>
      <c r="T26" s="13">
        <v>1.768</v>
      </c>
      <c r="U26" s="15">
        <v>1.7136</v>
      </c>
      <c r="V26" s="8">
        <f t="shared" si="1"/>
        <v>0.5038398364767499</v>
      </c>
      <c r="W26" s="8">
        <f t="shared" ref="W26:W48" si="6">V26*183.3/(4*16)</f>
        <v>1.4430287816591916</v>
      </c>
      <c r="X26" s="8">
        <f t="shared" ref="X26:X48" si="7">1000000*W26/183.3</f>
        <v>7872.4974449492165</v>
      </c>
      <c r="Y26" s="8"/>
      <c r="Z26" s="8"/>
    </row>
    <row r="27" spans="1:26">
      <c r="A27" t="s">
        <v>42</v>
      </c>
      <c r="B27" t="s">
        <v>43</v>
      </c>
      <c r="C27" s="2">
        <v>45490.655613425923</v>
      </c>
      <c r="D27">
        <v>-44.63</v>
      </c>
      <c r="E27">
        <v>0.05</v>
      </c>
      <c r="F27">
        <v>-44.75</v>
      </c>
      <c r="G27">
        <v>0.16</v>
      </c>
      <c r="H27">
        <v>-7.68</v>
      </c>
      <c r="I27">
        <v>0.01</v>
      </c>
      <c r="J27" s="5">
        <f>1936.391-1798.5588</f>
        <v>137.83220000000006</v>
      </c>
      <c r="K27" s="17">
        <v>120</v>
      </c>
      <c r="L27" s="6">
        <f>(4.3729-1.929)*1000</f>
        <v>2443.8999999999992</v>
      </c>
      <c r="M27" s="7">
        <f t="shared" si="2"/>
        <v>0.94661251077861586</v>
      </c>
      <c r="N27">
        <v>-7.69</v>
      </c>
      <c r="O27" s="8">
        <f t="shared" si="3"/>
        <v>-8.9369140261720457</v>
      </c>
      <c r="P27">
        <f t="shared" si="0"/>
        <v>1.989780012E-3</v>
      </c>
      <c r="Q27" s="8">
        <f t="shared" si="4"/>
        <v>-27.194078147196397</v>
      </c>
      <c r="R27" s="8">
        <f t="shared" si="5"/>
        <v>23.355921852803601</v>
      </c>
      <c r="S27" s="8">
        <v>-19.25</v>
      </c>
      <c r="T27" s="13">
        <v>1.768</v>
      </c>
      <c r="U27" s="15">
        <v>1.7136</v>
      </c>
      <c r="V27" s="8">
        <f t="shared" si="1"/>
        <v>0.5038398364767499</v>
      </c>
      <c r="W27" s="8">
        <f t="shared" si="6"/>
        <v>1.4430287816591916</v>
      </c>
      <c r="X27" s="8">
        <f t="shared" si="7"/>
        <v>7872.4974449492165</v>
      </c>
      <c r="Y27" s="8"/>
      <c r="Z27" s="8"/>
    </row>
    <row r="28" spans="1:26">
      <c r="A28" t="s">
        <v>44</v>
      </c>
      <c r="B28" t="s">
        <v>45</v>
      </c>
      <c r="C28" s="2">
        <v>45486.270833333343</v>
      </c>
      <c r="D28">
        <v>-40.89</v>
      </c>
      <c r="E28">
        <v>0.03</v>
      </c>
      <c r="F28">
        <v>-40.71</v>
      </c>
      <c r="G28">
        <v>0.25</v>
      </c>
      <c r="H28">
        <v>-4.82</v>
      </c>
      <c r="I28">
        <v>0.02</v>
      </c>
      <c r="J28" s="5">
        <f>1995.624-1796.2349</f>
        <v>199.3891000000001</v>
      </c>
      <c r="K28" s="17">
        <v>120</v>
      </c>
      <c r="L28" s="6">
        <f>(4.4137-1.9956)*1000</f>
        <v>2418.1000000000004</v>
      </c>
      <c r="M28" s="7">
        <f t="shared" si="2"/>
        <v>0.92382428641250114</v>
      </c>
      <c r="N28">
        <v>-4.8099999999999996</v>
      </c>
      <c r="O28" s="8">
        <f t="shared" si="3"/>
        <v>-9.9386843693064506</v>
      </c>
      <c r="P28">
        <f t="shared" si="0"/>
        <v>1.995554988E-3</v>
      </c>
      <c r="Q28" s="8">
        <f t="shared" si="4"/>
        <v>16.777027575730063</v>
      </c>
      <c r="R28" s="8">
        <f t="shared" si="5"/>
        <v>67.327027575730057</v>
      </c>
      <c r="S28" s="8">
        <v>-19.25</v>
      </c>
      <c r="T28" s="13">
        <v>1.6950000000000001</v>
      </c>
      <c r="U28" s="15">
        <v>1.7136</v>
      </c>
      <c r="V28" s="8">
        <f t="shared" si="1"/>
        <v>1.463201649547627</v>
      </c>
      <c r="W28" s="8">
        <f t="shared" si="6"/>
        <v>4.190700974407501</v>
      </c>
      <c r="X28" s="8">
        <f t="shared" si="7"/>
        <v>22862.525774181675</v>
      </c>
      <c r="Y28" s="8"/>
      <c r="Z28" s="8"/>
    </row>
    <row r="29" spans="1:26">
      <c r="A29" t="s">
        <v>44</v>
      </c>
      <c r="B29" t="s">
        <v>45</v>
      </c>
      <c r="C29" s="2">
        <v>45490.706099537027</v>
      </c>
      <c r="D29">
        <v>-40.54</v>
      </c>
      <c r="E29">
        <v>0.32</v>
      </c>
      <c r="F29">
        <v>-40.71</v>
      </c>
      <c r="G29">
        <v>0.25</v>
      </c>
      <c r="H29">
        <v>-4.8</v>
      </c>
      <c r="I29">
        <v>0.03</v>
      </c>
      <c r="J29" s="5">
        <f>1995.624-1796.2349</f>
        <v>199.3891000000001</v>
      </c>
      <c r="K29" s="17">
        <v>120</v>
      </c>
      <c r="L29" s="6">
        <f>(4.4137-1.9956)*1000</f>
        <v>2418.1000000000004</v>
      </c>
      <c r="M29" s="7">
        <f t="shared" si="2"/>
        <v>0.92382428641250114</v>
      </c>
      <c r="N29">
        <v>-4.8099999999999996</v>
      </c>
      <c r="O29" s="8">
        <f t="shared" si="3"/>
        <v>-9.9386843693064506</v>
      </c>
      <c r="P29">
        <f t="shared" si="0"/>
        <v>1.995554988E-3</v>
      </c>
      <c r="Q29" s="8">
        <f t="shared" si="4"/>
        <v>16.777027575730063</v>
      </c>
      <c r="R29" s="8">
        <f t="shared" si="5"/>
        <v>67.327027575730057</v>
      </c>
      <c r="S29" s="8">
        <v>-19.25</v>
      </c>
      <c r="T29" s="13">
        <v>1.6950000000000001</v>
      </c>
      <c r="U29" s="15">
        <v>1.7136</v>
      </c>
      <c r="V29" s="8">
        <f t="shared" si="1"/>
        <v>1.463201649547627</v>
      </c>
      <c r="W29" s="8">
        <f t="shared" si="6"/>
        <v>4.190700974407501</v>
      </c>
      <c r="X29" s="8">
        <f t="shared" si="7"/>
        <v>22862.525774181675</v>
      </c>
      <c r="Y29" s="8"/>
      <c r="Z29" s="8"/>
    </row>
    <row r="30" spans="1:26">
      <c r="A30" t="s">
        <v>46</v>
      </c>
      <c r="B30" t="s">
        <v>47</v>
      </c>
      <c r="C30" s="2">
        <v>45486.32130787037</v>
      </c>
      <c r="D30">
        <v>-52.76</v>
      </c>
      <c r="E30">
        <v>0.08</v>
      </c>
      <c r="F30">
        <v>-52.57</v>
      </c>
      <c r="G30">
        <v>0.27</v>
      </c>
      <c r="H30">
        <v>-7.83</v>
      </c>
      <c r="I30">
        <v>0.02</v>
      </c>
      <c r="J30" s="5">
        <f>1880.3652-1810.4256</f>
        <v>69.939599999999928</v>
      </c>
      <c r="K30" s="17">
        <v>120</v>
      </c>
      <c r="L30" s="6">
        <f>(4.2863-1.8819)*1000</f>
        <v>2404.4</v>
      </c>
      <c r="M30" s="7">
        <f t="shared" si="2"/>
        <v>0.97173403359829824</v>
      </c>
      <c r="N30">
        <v>-7.83</v>
      </c>
      <c r="O30" s="8">
        <f t="shared" si="3"/>
        <v>-7.8325718830188098</v>
      </c>
      <c r="P30">
        <f t="shared" si="0"/>
        <v>1.9894992839999998E-3</v>
      </c>
      <c r="Q30" s="8">
        <f t="shared" si="4"/>
        <v>-50.459011318337616</v>
      </c>
      <c r="R30" s="8">
        <f>Q30-USGS49</f>
        <v>9.0988681662381055E-2</v>
      </c>
      <c r="S30" s="8">
        <v>-19.25</v>
      </c>
      <c r="T30" s="13">
        <f>152.1043-150.8015</f>
        <v>1.3027999999999906</v>
      </c>
      <c r="U30" s="15">
        <v>1.7136</v>
      </c>
      <c r="V30" s="8">
        <f t="shared" si="1"/>
        <v>-2.3577899652193314E-3</v>
      </c>
      <c r="W30" s="15">
        <f t="shared" si="6"/>
        <v>-6.7528578222609921E-3</v>
      </c>
      <c r="X30" s="8">
        <f t="shared" si="7"/>
        <v>-36.840468206552053</v>
      </c>
      <c r="Y30" s="8"/>
      <c r="Z30" s="8"/>
    </row>
    <row r="31" spans="1:26">
      <c r="A31" t="s">
        <v>46</v>
      </c>
      <c r="B31" t="s">
        <v>47</v>
      </c>
      <c r="C31" s="2">
        <v>45490.756597222222</v>
      </c>
      <c r="D31">
        <v>-52.38</v>
      </c>
      <c r="E31">
        <v>0.31</v>
      </c>
      <c r="F31">
        <v>-52.57</v>
      </c>
      <c r="G31">
        <v>0.27</v>
      </c>
      <c r="H31">
        <v>-7.83</v>
      </c>
      <c r="I31">
        <v>0.06</v>
      </c>
      <c r="J31" s="5">
        <f>1880.3652-1810.4256</f>
        <v>69.939599999999928</v>
      </c>
      <c r="K31" s="17">
        <v>120</v>
      </c>
      <c r="L31" s="6">
        <f>(4.2863-1.8819)*1000</f>
        <v>2404.4</v>
      </c>
      <c r="M31" s="7">
        <f t="shared" si="2"/>
        <v>0.97173403359829824</v>
      </c>
      <c r="N31">
        <v>-7.83</v>
      </c>
      <c r="O31" s="8">
        <f t="shared" si="3"/>
        <v>-7.8325718830188098</v>
      </c>
      <c r="P31">
        <f t="shared" si="0"/>
        <v>1.9894992839999998E-3</v>
      </c>
      <c r="Q31" s="8">
        <f t="shared" si="4"/>
        <v>-50.459011318337616</v>
      </c>
      <c r="R31" s="8">
        <f t="shared" si="5"/>
        <v>9.0988681662381055E-2</v>
      </c>
      <c r="S31" s="8">
        <v>-19.25</v>
      </c>
      <c r="T31" s="13">
        <f>152.1043-150.8015</f>
        <v>1.3027999999999906</v>
      </c>
      <c r="U31" s="15">
        <v>1.7136</v>
      </c>
      <c r="V31" s="8">
        <f t="shared" si="1"/>
        <v>-2.3577899652193314E-3</v>
      </c>
      <c r="W31" s="15">
        <f t="shared" si="6"/>
        <v>-6.7528578222609921E-3</v>
      </c>
      <c r="X31" s="8">
        <f t="shared" si="7"/>
        <v>-36.840468206552053</v>
      </c>
      <c r="Y31" s="8"/>
      <c r="Z31" s="8"/>
    </row>
    <row r="32" spans="1:26">
      <c r="A32" t="s">
        <v>48</v>
      </c>
      <c r="B32" t="s">
        <v>49</v>
      </c>
      <c r="C32" s="2">
        <v>45486.371782407397</v>
      </c>
      <c r="D32">
        <v>-50.1</v>
      </c>
      <c r="E32">
        <v>0.1</v>
      </c>
      <c r="F32">
        <v>-49.94</v>
      </c>
      <c r="G32">
        <v>0.24</v>
      </c>
      <c r="H32">
        <v>-7.47</v>
      </c>
      <c r="I32">
        <v>0.01</v>
      </c>
      <c r="J32" s="5">
        <f>1858.196-1804.0966</f>
        <v>54.099399999999832</v>
      </c>
      <c r="K32" s="17">
        <v>120</v>
      </c>
      <c r="L32">
        <v>2400</v>
      </c>
      <c r="M32" s="7">
        <f t="shared" si="2"/>
        <v>0.97795549764610179</v>
      </c>
      <c r="N32">
        <v>-7.46</v>
      </c>
      <c r="O32" s="8">
        <f t="shared" si="3"/>
        <v>-7.559076323477365</v>
      </c>
      <c r="P32">
        <f t="shared" si="0"/>
        <v>1.9902412079999998E-3</v>
      </c>
      <c r="Q32" s="8">
        <f t="shared" si="4"/>
        <v>-46.055622132593129</v>
      </c>
      <c r="R32" s="8">
        <f t="shared" si="5"/>
        <v>4.4943778674068682</v>
      </c>
      <c r="S32" s="8">
        <v>-19.25</v>
      </c>
      <c r="T32" s="13">
        <f>125.8417-124.2025</f>
        <v>1.6392000000000024</v>
      </c>
      <c r="U32" s="15">
        <v>0.87119999999999997</v>
      </c>
      <c r="V32" s="8">
        <f t="shared" si="1"/>
        <v>9.256590906018293E-2</v>
      </c>
      <c r="W32" s="8">
        <f t="shared" si="6"/>
        <v>0.26511454891768022</v>
      </c>
      <c r="X32" s="8">
        <f t="shared" si="7"/>
        <v>1446.3423290653584</v>
      </c>
      <c r="Y32" s="8"/>
      <c r="Z32" s="8"/>
    </row>
    <row r="33" spans="1:32">
      <c r="A33" t="s">
        <v>48</v>
      </c>
      <c r="B33" t="s">
        <v>49</v>
      </c>
      <c r="C33" s="2">
        <v>45490.807083333333</v>
      </c>
      <c r="D33">
        <v>-49.77</v>
      </c>
      <c r="E33">
        <v>0.04</v>
      </c>
      <c r="F33">
        <v>-49.94</v>
      </c>
      <c r="G33">
        <v>0.24</v>
      </c>
      <c r="H33">
        <v>-7.45</v>
      </c>
      <c r="I33">
        <v>0.02</v>
      </c>
      <c r="J33" s="5">
        <f>1858.196-1804.0966</f>
        <v>54.099399999999832</v>
      </c>
      <c r="K33" s="17">
        <v>120</v>
      </c>
      <c r="L33">
        <v>2400</v>
      </c>
      <c r="M33" s="7">
        <f t="shared" si="2"/>
        <v>0.97795549764610179</v>
      </c>
      <c r="N33">
        <v>-7.46</v>
      </c>
      <c r="O33" s="8">
        <f t="shared" si="3"/>
        <v>-7.559076323477365</v>
      </c>
      <c r="P33">
        <f t="shared" si="0"/>
        <v>1.9902412079999998E-3</v>
      </c>
      <c r="Q33" s="8">
        <f t="shared" si="4"/>
        <v>-46.055622132593129</v>
      </c>
      <c r="R33" s="8">
        <f t="shared" si="5"/>
        <v>4.4943778674068682</v>
      </c>
      <c r="S33" s="8">
        <v>-19.25</v>
      </c>
      <c r="T33" s="13">
        <f>125.8417-124.2025</f>
        <v>1.6392000000000024</v>
      </c>
      <c r="U33" s="15">
        <v>0.87119999999999997</v>
      </c>
      <c r="V33" s="8">
        <f t="shared" si="1"/>
        <v>9.256590906018293E-2</v>
      </c>
      <c r="W33" s="8">
        <f t="shared" si="6"/>
        <v>0.26511454891768022</v>
      </c>
      <c r="X33" s="8">
        <f t="shared" si="7"/>
        <v>1446.3423290653584</v>
      </c>
      <c r="Y33" s="8"/>
      <c r="Z33" s="8"/>
    </row>
    <row r="34" spans="1:32">
      <c r="A34" t="s">
        <v>50</v>
      </c>
      <c r="B34" t="s">
        <v>51</v>
      </c>
      <c r="C34" s="2">
        <v>45486.42224537037</v>
      </c>
      <c r="D34">
        <v>-41.68</v>
      </c>
      <c r="E34">
        <v>7.0000000000000007E-2</v>
      </c>
      <c r="F34">
        <v>-41.48</v>
      </c>
      <c r="G34">
        <v>0.28000000000000003</v>
      </c>
      <c r="H34">
        <v>-6.39</v>
      </c>
      <c r="I34">
        <v>0.03</v>
      </c>
      <c r="J34" s="5">
        <f>1942.906-1781.8958</f>
        <v>161.01019999999994</v>
      </c>
      <c r="K34" s="17">
        <v>120</v>
      </c>
      <c r="L34">
        <v>2400</v>
      </c>
      <c r="M34" s="7">
        <f t="shared" si="2"/>
        <v>0.93713019963762745</v>
      </c>
      <c r="N34">
        <v>-6.37</v>
      </c>
      <c r="O34" s="8">
        <f t="shared" si="3"/>
        <v>-9.353756423929898</v>
      </c>
      <c r="P34">
        <f t="shared" si="0"/>
        <v>1.9924268759999998E-3</v>
      </c>
      <c r="Q34" s="8">
        <f t="shared" si="4"/>
        <v>-3.0907046510096805</v>
      </c>
      <c r="R34" s="8">
        <f t="shared" si="5"/>
        <v>47.459295348990317</v>
      </c>
      <c r="S34" s="8">
        <v>-19.25</v>
      </c>
      <c r="T34" s="13">
        <f>(174.4643-173.1019)+(1735.9271-1733.7685)</f>
        <v>3.521000000000214</v>
      </c>
      <c r="U34" s="15">
        <v>1.7136</v>
      </c>
      <c r="V34" s="8">
        <f t="shared" si="1"/>
        <v>1.0328950061394779</v>
      </c>
      <c r="W34" s="8">
        <f t="shared" si="6"/>
        <v>2.9582758535213487</v>
      </c>
      <c r="X34" s="8">
        <f t="shared" si="7"/>
        <v>16138.984470929343</v>
      </c>
      <c r="Y34" s="8"/>
      <c r="Z34" s="8"/>
      <c r="AA34" t="s">
        <v>52</v>
      </c>
      <c r="AB34" s="8">
        <f>MIN(R24:R48)</f>
        <v>9.0988681662381055E-2</v>
      </c>
    </row>
    <row r="35" spans="1:32">
      <c r="A35" t="s">
        <v>50</v>
      </c>
      <c r="B35" t="s">
        <v>51</v>
      </c>
      <c r="C35" s="2">
        <v>45490.857592592591</v>
      </c>
      <c r="D35">
        <v>-41.28</v>
      </c>
      <c r="E35">
        <v>0.12</v>
      </c>
      <c r="F35">
        <v>-41.48</v>
      </c>
      <c r="G35">
        <v>0.28000000000000003</v>
      </c>
      <c r="H35">
        <v>-6.36</v>
      </c>
      <c r="I35">
        <v>0.01</v>
      </c>
      <c r="J35" s="5">
        <f>1942.906-1781.8958</f>
        <v>161.01019999999994</v>
      </c>
      <c r="K35" s="17">
        <v>120</v>
      </c>
      <c r="L35">
        <v>2400</v>
      </c>
      <c r="M35" s="7">
        <f t="shared" si="2"/>
        <v>0.93713019963762745</v>
      </c>
      <c r="N35">
        <v>-6.37</v>
      </c>
      <c r="O35" s="8">
        <f t="shared" si="3"/>
        <v>-9.353756423929898</v>
      </c>
      <c r="P35">
        <f t="shared" si="0"/>
        <v>1.9924268759999998E-3</v>
      </c>
      <c r="Q35" s="8">
        <f t="shared" si="4"/>
        <v>-3.0907046510096805</v>
      </c>
      <c r="R35" s="8">
        <f t="shared" si="5"/>
        <v>47.459295348990317</v>
      </c>
      <c r="S35" s="8">
        <v>-19.25</v>
      </c>
      <c r="T35" s="13">
        <f>(174.4643-173.1019)+(1735.9271-1733.7685)</f>
        <v>3.521000000000214</v>
      </c>
      <c r="U35" s="15">
        <v>1.7136</v>
      </c>
      <c r="V35" s="8">
        <f t="shared" si="1"/>
        <v>1.0328950061394779</v>
      </c>
      <c r="W35" s="8">
        <f t="shared" si="6"/>
        <v>2.9582758535213487</v>
      </c>
      <c r="X35" s="8">
        <f t="shared" si="7"/>
        <v>16138.984470929343</v>
      </c>
      <c r="Y35" s="8"/>
      <c r="Z35" s="8"/>
      <c r="AA35" t="s">
        <v>53</v>
      </c>
      <c r="AB35" s="8">
        <f>AVERAGE(R24:R48)</f>
        <v>24.787027706032788</v>
      </c>
    </row>
    <row r="36" spans="1:32">
      <c r="A36" t="s">
        <v>54</v>
      </c>
      <c r="B36" t="s">
        <v>55</v>
      </c>
      <c r="C36" s="2">
        <v>45486.472708333327</v>
      </c>
      <c r="D36">
        <v>-40.770000000000003</v>
      </c>
      <c r="E36">
        <v>0.05</v>
      </c>
      <c r="F36">
        <v>-40.57</v>
      </c>
      <c r="G36">
        <v>0.28999999999999998</v>
      </c>
      <c r="H36">
        <v>-6.74</v>
      </c>
      <c r="I36">
        <v>0.01</v>
      </c>
      <c r="J36" s="5">
        <f>1859.917-1779.875</f>
        <v>80.041999999999916</v>
      </c>
      <c r="K36" s="17">
        <v>120</v>
      </c>
      <c r="L36" s="6">
        <f>(4.2054-1.835)*1000</f>
        <v>2370.4</v>
      </c>
      <c r="M36" s="7">
        <f t="shared" si="2"/>
        <v>0.96733568882675047</v>
      </c>
      <c r="N36">
        <v>-6.72</v>
      </c>
      <c r="O36" s="8">
        <f t="shared" si="3"/>
        <v>-8.0259231191760492</v>
      </c>
      <c r="P36">
        <f t="shared" si="0"/>
        <v>1.991725056E-3</v>
      </c>
      <c r="Q36" s="8">
        <f t="shared" si="4"/>
        <v>-10.569878813622847</v>
      </c>
      <c r="R36" s="8">
        <f t="shared" si="5"/>
        <v>39.980121186377147</v>
      </c>
      <c r="S36" s="8">
        <v>-19.25</v>
      </c>
      <c r="T36" s="13">
        <f>(175.9563-174.854)+(1727.6003-1726.7132)</f>
        <v>1.9894000000001313</v>
      </c>
      <c r="U36" s="15">
        <v>1.7136</v>
      </c>
      <c r="V36" s="8">
        <f t="shared" si="1"/>
        <v>0.86685699900746782</v>
      </c>
      <c r="W36" s="8">
        <f t="shared" si="6"/>
        <v>2.4827326237198259</v>
      </c>
      <c r="X36" s="8">
        <f t="shared" si="7"/>
        <v>13544.640609491684</v>
      </c>
      <c r="Y36" s="8"/>
      <c r="Z36" s="8"/>
      <c r="AA36" t="s">
        <v>56</v>
      </c>
      <c r="AB36" s="8">
        <f>MAX(R24:R48)</f>
        <v>67.327027575730057</v>
      </c>
    </row>
    <row r="37" spans="1:32">
      <c r="A37" t="s">
        <v>54</v>
      </c>
      <c r="B37" t="s">
        <v>55</v>
      </c>
      <c r="C37" s="2">
        <v>45490.908090277779</v>
      </c>
      <c r="D37">
        <v>-40.369999999999997</v>
      </c>
      <c r="E37">
        <v>0.05</v>
      </c>
      <c r="F37">
        <v>-40.57</v>
      </c>
      <c r="G37">
        <v>0.28999999999999998</v>
      </c>
      <c r="H37">
        <v>-6.69</v>
      </c>
      <c r="I37">
        <v>0.02</v>
      </c>
      <c r="J37" s="5">
        <f>1859.917-1779.875</f>
        <v>80.041999999999916</v>
      </c>
      <c r="K37" s="17">
        <v>120</v>
      </c>
      <c r="L37" s="6">
        <f>(4.2054-1.835)*1000</f>
        <v>2370.4</v>
      </c>
      <c r="M37" s="7">
        <f t="shared" si="2"/>
        <v>0.96733568882675047</v>
      </c>
      <c r="N37">
        <v>-6.72</v>
      </c>
      <c r="O37" s="8">
        <f t="shared" si="3"/>
        <v>-8.0259231191760492</v>
      </c>
      <c r="P37">
        <f t="shared" si="0"/>
        <v>1.991725056E-3</v>
      </c>
      <c r="Q37" s="8">
        <f t="shared" si="4"/>
        <v>-10.569878813622847</v>
      </c>
      <c r="R37" s="8">
        <f t="shared" si="5"/>
        <v>39.980121186377147</v>
      </c>
      <c r="S37" s="8">
        <v>-19.25</v>
      </c>
      <c r="T37" s="13">
        <f>(175.9563-174.854)+(1727.6003-1726.7132)</f>
        <v>1.9894000000001313</v>
      </c>
      <c r="U37" s="15">
        <v>1.7136</v>
      </c>
      <c r="V37" s="8">
        <f t="shared" si="1"/>
        <v>0.86685699900746782</v>
      </c>
      <c r="W37" s="8">
        <f t="shared" si="6"/>
        <v>2.4827326237198259</v>
      </c>
      <c r="X37" s="8">
        <f t="shared" si="7"/>
        <v>13544.640609491684</v>
      </c>
      <c r="Y37" s="8"/>
      <c r="Z37" s="8"/>
    </row>
    <row r="38" spans="1:32">
      <c r="A38" t="s">
        <v>57</v>
      </c>
      <c r="B38" t="s">
        <v>58</v>
      </c>
      <c r="C38" s="2">
        <v>45486.5231712963</v>
      </c>
      <c r="D38">
        <v>-43.12</v>
      </c>
      <c r="E38">
        <v>0.14000000000000001</v>
      </c>
      <c r="F38">
        <v>-42.95</v>
      </c>
      <c r="G38">
        <v>0.24</v>
      </c>
      <c r="H38">
        <v>-7.77</v>
      </c>
      <c r="I38">
        <v>0.01</v>
      </c>
      <c r="J38" s="5">
        <f>1874.2572-1777.9436</f>
        <v>96.313599999999951</v>
      </c>
      <c r="K38" s="17">
        <v>120</v>
      </c>
      <c r="L38">
        <v>2400</v>
      </c>
      <c r="M38" s="7">
        <f t="shared" si="2"/>
        <v>0.96141766803658002</v>
      </c>
      <c r="N38">
        <v>-7.74</v>
      </c>
      <c r="O38" s="8">
        <f t="shared" si="3"/>
        <v>-8.2860793131119426</v>
      </c>
      <c r="P38">
        <f t="shared" si="0"/>
        <v>1.9896797519999999E-3</v>
      </c>
      <c r="Q38" s="8">
        <f t="shared" si="4"/>
        <v>-36.396389128845776</v>
      </c>
      <c r="R38" s="8">
        <f t="shared" si="5"/>
        <v>14.153610871154221</v>
      </c>
      <c r="S38" s="8">
        <v>-19.25</v>
      </c>
      <c r="T38" s="13">
        <f>174.3108-173.1998</f>
        <v>1.11099999999999</v>
      </c>
      <c r="U38" s="15">
        <v>1.488</v>
      </c>
      <c r="V38" s="8">
        <f t="shared" si="1"/>
        <v>0.30420390264357206</v>
      </c>
      <c r="W38" s="8">
        <f t="shared" si="6"/>
        <v>0.87125898991510564</v>
      </c>
      <c r="X38" s="8">
        <f t="shared" si="7"/>
        <v>4753.1859788058136</v>
      </c>
      <c r="Y38" s="8"/>
      <c r="Z38" s="8"/>
    </row>
    <row r="39" spans="1:32">
      <c r="A39" t="s">
        <v>57</v>
      </c>
      <c r="B39" t="s">
        <v>58</v>
      </c>
      <c r="C39" s="2">
        <v>45490.958599537043</v>
      </c>
      <c r="D39">
        <v>-42.78</v>
      </c>
      <c r="E39">
        <v>0.23</v>
      </c>
      <c r="F39">
        <v>-42.95</v>
      </c>
      <c r="G39">
        <v>0.24</v>
      </c>
      <c r="H39">
        <v>-7.72</v>
      </c>
      <c r="I39">
        <v>0.03</v>
      </c>
      <c r="J39" s="5">
        <f>1874.2572-1777.9436</f>
        <v>96.313599999999951</v>
      </c>
      <c r="K39" s="17">
        <v>120</v>
      </c>
      <c r="L39">
        <v>2400</v>
      </c>
      <c r="M39" s="7">
        <f t="shared" si="2"/>
        <v>0.96141766803658002</v>
      </c>
      <c r="N39">
        <v>-7.74</v>
      </c>
      <c r="O39" s="8">
        <f t="shared" si="3"/>
        <v>-8.2860793131119426</v>
      </c>
      <c r="P39">
        <f t="shared" si="0"/>
        <v>1.9896797519999999E-3</v>
      </c>
      <c r="Q39" s="8">
        <f t="shared" si="4"/>
        <v>-36.396389128845776</v>
      </c>
      <c r="R39" s="8">
        <f t="shared" si="5"/>
        <v>14.153610871154221</v>
      </c>
      <c r="S39" s="8">
        <v>-19.25</v>
      </c>
      <c r="T39" s="13">
        <f>174.3108-173.1998</f>
        <v>1.11099999999999</v>
      </c>
      <c r="U39" s="15">
        <v>1.488</v>
      </c>
      <c r="V39" s="8">
        <f t="shared" si="1"/>
        <v>0.30420390264357206</v>
      </c>
      <c r="W39" s="8">
        <f t="shared" si="6"/>
        <v>0.87125898991510564</v>
      </c>
      <c r="X39" s="8">
        <f t="shared" si="7"/>
        <v>4753.1859788058136</v>
      </c>
      <c r="Y39" s="8"/>
      <c r="Z39" s="8"/>
      <c r="AB39" t="s">
        <v>59</v>
      </c>
      <c r="AC39" t="s">
        <v>60</v>
      </c>
      <c r="AD39" t="s">
        <v>61</v>
      </c>
      <c r="AE39" s="12" t="s">
        <v>62</v>
      </c>
      <c r="AF39" s="12" t="s">
        <v>63</v>
      </c>
    </row>
    <row r="40" spans="1:32">
      <c r="A40" t="s">
        <v>64</v>
      </c>
      <c r="B40" t="s">
        <v>65</v>
      </c>
      <c r="C40" s="2">
        <v>45486.57366898148</v>
      </c>
      <c r="D40">
        <v>-53.05</v>
      </c>
      <c r="E40">
        <v>0.09</v>
      </c>
      <c r="F40">
        <v>-52.87</v>
      </c>
      <c r="G40">
        <v>0.25</v>
      </c>
      <c r="H40">
        <v>-7.91</v>
      </c>
      <c r="I40">
        <v>0.02</v>
      </c>
      <c r="J40" s="5">
        <f>1901.4936-1785.9073</f>
        <v>115.58629999999994</v>
      </c>
      <c r="K40" s="17">
        <v>120</v>
      </c>
      <c r="L40">
        <v>2400</v>
      </c>
      <c r="M40" s="7">
        <f t="shared" si="2"/>
        <v>0.95405194407363403</v>
      </c>
      <c r="N40">
        <v>-7.89</v>
      </c>
      <c r="O40" s="8">
        <f t="shared" si="3"/>
        <v>-8.6098765385230482</v>
      </c>
      <c r="P40">
        <f t="shared" si="0"/>
        <v>1.989378972E-3</v>
      </c>
      <c r="Q40" s="8">
        <f t="shared" si="4"/>
        <v>-34.882818353040129</v>
      </c>
      <c r="R40" s="8">
        <f t="shared" si="5"/>
        <v>15.667181646959868</v>
      </c>
      <c r="S40" s="8">
        <v>-19.25</v>
      </c>
      <c r="T40" s="13">
        <f>141.3287-140.1758</f>
        <v>1.1528999999999883</v>
      </c>
      <c r="U40" s="15">
        <v>1.488</v>
      </c>
      <c r="V40" s="8">
        <f t="shared" si="1"/>
        <v>0.3370611184183504</v>
      </c>
      <c r="W40" s="8">
        <f t="shared" si="6"/>
        <v>0.9653641094700568</v>
      </c>
      <c r="X40" s="8">
        <f t="shared" si="7"/>
        <v>5266.5799752867251</v>
      </c>
      <c r="Y40" s="8"/>
      <c r="Z40" s="8"/>
      <c r="AB40" s="13" t="s">
        <v>66</v>
      </c>
      <c r="AC40" s="13">
        <v>3</v>
      </c>
      <c r="AD40" s="14">
        <f>SQRT(AC40)</f>
        <v>1.7320508075688772</v>
      </c>
      <c r="AE40" s="8">
        <f>AVERAGE(R26:R27)</f>
        <v>23.355921852803601</v>
      </c>
      <c r="AF40">
        <v>15.29</v>
      </c>
    </row>
    <row r="41" spans="1:32">
      <c r="A41" t="s">
        <v>64</v>
      </c>
      <c r="B41" t="s">
        <v>65</v>
      </c>
      <c r="C41" s="2">
        <v>45491.009108796286</v>
      </c>
      <c r="D41">
        <v>-52.69</v>
      </c>
      <c r="E41">
        <v>0.08</v>
      </c>
      <c r="F41">
        <v>-52.87</v>
      </c>
      <c r="G41">
        <v>0.25</v>
      </c>
      <c r="H41">
        <v>-7.88</v>
      </c>
      <c r="I41">
        <v>0.02</v>
      </c>
      <c r="J41" s="5">
        <f>1901.4936-1785.9073</f>
        <v>115.58629999999994</v>
      </c>
      <c r="K41" s="17">
        <v>120</v>
      </c>
      <c r="L41">
        <v>2400</v>
      </c>
      <c r="M41" s="7">
        <f t="shared" si="2"/>
        <v>0.95405194407363403</v>
      </c>
      <c r="N41">
        <v>-7.89</v>
      </c>
      <c r="O41" s="8">
        <f t="shared" si="3"/>
        <v>-8.6098765385230482</v>
      </c>
      <c r="P41">
        <f t="shared" si="0"/>
        <v>1.989378972E-3</v>
      </c>
      <c r="Q41" s="8">
        <f t="shared" si="4"/>
        <v>-34.882818353040129</v>
      </c>
      <c r="R41" s="8">
        <f t="shared" si="5"/>
        <v>15.667181646959868</v>
      </c>
      <c r="S41" s="8">
        <v>-19.25</v>
      </c>
      <c r="T41" s="13">
        <f>141.3287-140.1758</f>
        <v>1.1528999999999883</v>
      </c>
      <c r="U41" s="15">
        <v>1.488</v>
      </c>
      <c r="V41" s="8">
        <f t="shared" si="1"/>
        <v>0.3370611184183504</v>
      </c>
      <c r="W41" s="8">
        <f t="shared" si="6"/>
        <v>0.9653641094700568</v>
      </c>
      <c r="X41" s="8">
        <f t="shared" si="7"/>
        <v>5266.5799752867251</v>
      </c>
      <c r="Y41" s="8"/>
      <c r="Z41" s="8"/>
      <c r="AB41" s="13" t="s">
        <v>67</v>
      </c>
      <c r="AC41" s="13">
        <v>19</v>
      </c>
      <c r="AD41" s="14">
        <f t="shared" ref="AD41:AD42" si="8">SQRT(AC41)</f>
        <v>4.358898943540674</v>
      </c>
      <c r="AE41" s="8">
        <f>AVERAGE(R28:R29)</f>
        <v>67.327027575730057</v>
      </c>
      <c r="AF41">
        <v>18.47</v>
      </c>
    </row>
    <row r="42" spans="1:32">
      <c r="A42" t="s">
        <v>68</v>
      </c>
      <c r="B42" t="s">
        <v>69</v>
      </c>
      <c r="C42" s="2">
        <v>45486.624120370368</v>
      </c>
      <c r="D42">
        <v>-49.39</v>
      </c>
      <c r="E42">
        <v>0.06</v>
      </c>
      <c r="F42">
        <v>-49.26</v>
      </c>
      <c r="G42">
        <v>0.18</v>
      </c>
      <c r="H42">
        <v>-8.07</v>
      </c>
      <c r="I42">
        <v>0.03</v>
      </c>
      <c r="J42" s="5">
        <f>1891.0933-1797.5914</f>
        <v>93.501899999999978</v>
      </c>
      <c r="K42" s="17">
        <v>120</v>
      </c>
      <c r="L42">
        <v>2400</v>
      </c>
      <c r="M42" s="7">
        <f t="shared" si="2"/>
        <v>0.96250177310873508</v>
      </c>
      <c r="N42">
        <v>-8.0500000000000007</v>
      </c>
      <c r="O42" s="8">
        <f t="shared" si="3"/>
        <v>-8.2384220541400062</v>
      </c>
      <c r="P42">
        <f t="shared" si="0"/>
        <v>1.98905814E-3</v>
      </c>
      <c r="Q42" s="8">
        <f t="shared" si="4"/>
        <v>-45.525174301270937</v>
      </c>
      <c r="R42" s="8">
        <f t="shared" si="5"/>
        <v>5.0248256987290603</v>
      </c>
      <c r="S42" s="8">
        <v>-19.25</v>
      </c>
      <c r="T42" s="8"/>
      <c r="U42" s="15"/>
      <c r="V42" s="8">
        <f t="shared" si="1"/>
        <v>0.10871833830921571</v>
      </c>
      <c r="W42" s="8">
        <f t="shared" si="6"/>
        <v>0.31137611581373814</v>
      </c>
      <c r="X42" s="8">
        <f t="shared" si="7"/>
        <v>1698.7240360814956</v>
      </c>
      <c r="Y42" s="8"/>
      <c r="Z42" s="8"/>
      <c r="AB42" s="13" t="s">
        <v>70</v>
      </c>
      <c r="AC42" s="13">
        <v>7</v>
      </c>
      <c r="AD42" s="14">
        <f t="shared" si="8"/>
        <v>2.6457513110645907</v>
      </c>
      <c r="AE42" s="8">
        <f>AVERAGE(R44:R45)</f>
        <v>55.839943118674036</v>
      </c>
      <c r="AF42">
        <v>17.8</v>
      </c>
    </row>
    <row r="43" spans="1:32">
      <c r="A43" t="s">
        <v>68</v>
      </c>
      <c r="B43" t="s">
        <v>69</v>
      </c>
      <c r="C43" s="2">
        <v>45491.059594907398</v>
      </c>
      <c r="D43">
        <v>-49.14</v>
      </c>
      <c r="E43">
        <v>0.1</v>
      </c>
      <c r="F43">
        <v>-49.26</v>
      </c>
      <c r="G43">
        <v>0.18</v>
      </c>
      <c r="H43">
        <v>-8.0399999999999991</v>
      </c>
      <c r="I43">
        <v>0.01</v>
      </c>
      <c r="J43" s="5">
        <f>1891.0933-1797.5914</f>
        <v>93.501899999999978</v>
      </c>
      <c r="K43" s="17">
        <v>120</v>
      </c>
      <c r="L43">
        <v>2400</v>
      </c>
      <c r="M43" s="7">
        <f t="shared" si="2"/>
        <v>0.96250177310873508</v>
      </c>
      <c r="N43">
        <v>-8.0500000000000007</v>
      </c>
      <c r="O43" s="8">
        <f t="shared" si="3"/>
        <v>-8.2384220541400062</v>
      </c>
      <c r="P43">
        <f t="shared" si="0"/>
        <v>1.98905814E-3</v>
      </c>
      <c r="Q43" s="8">
        <f t="shared" si="4"/>
        <v>-45.525174301270937</v>
      </c>
      <c r="R43" s="8">
        <f t="shared" si="5"/>
        <v>5.0248256987290603</v>
      </c>
      <c r="S43" s="8">
        <v>-19.25</v>
      </c>
      <c r="T43" s="8"/>
      <c r="U43" s="15"/>
      <c r="V43" s="8">
        <f t="shared" si="1"/>
        <v>0.10871833830921571</v>
      </c>
      <c r="W43" s="8">
        <f t="shared" si="6"/>
        <v>0.31137611581373814</v>
      </c>
      <c r="X43" s="8">
        <f t="shared" si="7"/>
        <v>1698.7240360814956</v>
      </c>
      <c r="Y43" s="8"/>
      <c r="Z43" s="8"/>
    </row>
    <row r="44" spans="1:32">
      <c r="A44" t="s">
        <v>71</v>
      </c>
      <c r="B44" t="s">
        <v>72</v>
      </c>
      <c r="C44" s="2">
        <v>45486.725011574083</v>
      </c>
      <c r="D44">
        <v>-40.47</v>
      </c>
      <c r="E44">
        <v>0.91</v>
      </c>
      <c r="F44">
        <v>-40.29</v>
      </c>
      <c r="G44">
        <v>0.25</v>
      </c>
      <c r="H44">
        <v>-6.45</v>
      </c>
      <c r="I44">
        <v>7.0000000000000007E-2</v>
      </c>
      <c r="J44" s="5">
        <f>1830.5512-1797.078</f>
        <v>33.473200000000134</v>
      </c>
      <c r="K44" s="17">
        <v>120</v>
      </c>
      <c r="L44" s="6">
        <f>(4.2967-1.8448)*1000</f>
        <v>2451.9</v>
      </c>
      <c r="M44" s="7">
        <f t="shared" si="2"/>
        <v>0.98653192204695861</v>
      </c>
      <c r="N44">
        <v>-6.43</v>
      </c>
      <c r="O44" s="8">
        <f t="shared" si="3"/>
        <v>-7.1820567068156995</v>
      </c>
      <c r="P44">
        <f t="shared" si="0"/>
        <v>1.992306564E-3</v>
      </c>
      <c r="Q44" s="8">
        <f t="shared" si="4"/>
        <v>5.289943118674036</v>
      </c>
      <c r="R44" s="8">
        <f t="shared" si="5"/>
        <v>55.839943118674036</v>
      </c>
      <c r="S44" s="8">
        <v>-19.25</v>
      </c>
      <c r="T44" s="13">
        <v>2.073</v>
      </c>
      <c r="U44" s="15">
        <v>1.7136</v>
      </c>
      <c r="V44" s="8">
        <f t="shared" si="1"/>
        <v>1.2135795505122848</v>
      </c>
      <c r="W44" s="8">
        <f t="shared" si="6"/>
        <v>3.4757676813890912</v>
      </c>
      <c r="X44" s="8">
        <f t="shared" si="7"/>
        <v>18962.180476754453</v>
      </c>
      <c r="Y44" s="8"/>
      <c r="Z44" s="8"/>
    </row>
    <row r="45" spans="1:32">
      <c r="A45" t="s">
        <v>71</v>
      </c>
      <c r="B45" t="s">
        <v>72</v>
      </c>
      <c r="C45" s="2">
        <v>45491.160543981481</v>
      </c>
      <c r="D45">
        <v>-40.11</v>
      </c>
      <c r="E45">
        <v>0.76</v>
      </c>
      <c r="F45">
        <v>-40.29</v>
      </c>
      <c r="G45">
        <v>0.25</v>
      </c>
      <c r="H45">
        <v>-6.42</v>
      </c>
      <c r="I45">
        <v>0.03</v>
      </c>
      <c r="J45" s="5">
        <f>1830.5512-1797.078</f>
        <v>33.473200000000134</v>
      </c>
      <c r="K45" s="17">
        <v>120</v>
      </c>
      <c r="L45" s="6">
        <f>(4.2967-1.8448)*1000</f>
        <v>2451.9</v>
      </c>
      <c r="M45" s="7">
        <f t="shared" si="2"/>
        <v>0.98653192204695861</v>
      </c>
      <c r="N45">
        <v>-6.43</v>
      </c>
      <c r="O45" s="8">
        <f t="shared" si="3"/>
        <v>-7.1820567068156995</v>
      </c>
      <c r="P45">
        <f t="shared" si="0"/>
        <v>1.992306564E-3</v>
      </c>
      <c r="Q45" s="8">
        <f t="shared" si="4"/>
        <v>5.289943118674036</v>
      </c>
      <c r="R45" s="8">
        <f t="shared" si="5"/>
        <v>55.839943118674036</v>
      </c>
      <c r="S45" s="8">
        <v>-19.25</v>
      </c>
      <c r="T45" s="13">
        <v>2.073</v>
      </c>
      <c r="U45" s="15">
        <v>1.7136</v>
      </c>
      <c r="V45" s="8">
        <f t="shared" si="1"/>
        <v>1.2135795505122848</v>
      </c>
      <c r="W45" s="8">
        <f t="shared" si="6"/>
        <v>3.4757676813890912</v>
      </c>
      <c r="X45" s="8">
        <f>1000000*W45/183.3</f>
        <v>18962.180476754453</v>
      </c>
      <c r="Y45" s="8"/>
      <c r="Z45" s="8"/>
    </row>
    <row r="46" spans="1:32">
      <c r="A46" t="s">
        <v>73</v>
      </c>
      <c r="B46" t="s">
        <v>74</v>
      </c>
      <c r="C46" s="2">
        <v>45319.268564814818</v>
      </c>
      <c r="D46">
        <v>-54.1</v>
      </c>
      <c r="E46">
        <v>0.01</v>
      </c>
      <c r="F46">
        <v>-54.13</v>
      </c>
      <c r="G46">
        <v>0.04</v>
      </c>
      <c r="H46">
        <v>-7.92</v>
      </c>
      <c r="I46">
        <v>0.01</v>
      </c>
      <c r="J46">
        <v>105.3</v>
      </c>
      <c r="K46" s="17">
        <v>120</v>
      </c>
      <c r="L46">
        <v>2323.4</v>
      </c>
      <c r="M46" s="7">
        <f t="shared" si="2"/>
        <v>0.95664347181619791</v>
      </c>
      <c r="N46">
        <v>-7.91</v>
      </c>
      <c r="O46" s="8">
        <f>M46*ENT+(1-M46)*-5.81</f>
        <v>-6.5561819080166339</v>
      </c>
      <c r="P46">
        <f t="shared" si="0"/>
        <v>1.9893388679999998E-3</v>
      </c>
      <c r="Q46" s="8">
        <f t="shared" si="4"/>
        <v>-37.035242165242195</v>
      </c>
      <c r="R46" s="8">
        <f t="shared" si="5"/>
        <v>13.514757834757802</v>
      </c>
      <c r="S46" s="8">
        <v>-19.25</v>
      </c>
      <c r="T46" s="13">
        <v>1.2353000000000001</v>
      </c>
      <c r="U46" s="15">
        <v>0.87119999999999997</v>
      </c>
      <c r="V46" s="8">
        <f t="shared" si="1"/>
        <v>0.29007076381736313</v>
      </c>
      <c r="W46" s="8">
        <f t="shared" si="6"/>
        <v>0.83078079699566665</v>
      </c>
      <c r="X46" s="8">
        <f t="shared" si="7"/>
        <v>4532.3556846462989</v>
      </c>
      <c r="Y46" s="8"/>
      <c r="Z46" s="8"/>
    </row>
    <row r="47" spans="1:32">
      <c r="A47" t="s">
        <v>73</v>
      </c>
      <c r="B47" t="s">
        <v>74</v>
      </c>
      <c r="C47" s="2">
        <v>45320.983310185176</v>
      </c>
      <c r="D47">
        <v>-54.15</v>
      </c>
      <c r="E47">
        <v>7.0000000000000007E-2</v>
      </c>
      <c r="F47">
        <v>-54.13</v>
      </c>
      <c r="G47">
        <v>0.04</v>
      </c>
      <c r="H47">
        <v>-7.9</v>
      </c>
      <c r="I47">
        <v>0.01</v>
      </c>
      <c r="J47">
        <v>105.3</v>
      </c>
      <c r="K47" s="17">
        <v>120</v>
      </c>
      <c r="L47">
        <v>2323.4</v>
      </c>
      <c r="M47" s="7">
        <f t="shared" si="2"/>
        <v>0.95664347181619791</v>
      </c>
      <c r="N47">
        <v>-7.91</v>
      </c>
      <c r="O47" s="8">
        <f>M47*ENT+(1-M47)*-5.81</f>
        <v>-6.5561819080166339</v>
      </c>
      <c r="P47">
        <f t="shared" si="0"/>
        <v>1.9893388679999998E-3</v>
      </c>
      <c r="Q47" s="8">
        <f t="shared" si="4"/>
        <v>-37.035242165242195</v>
      </c>
      <c r="R47" s="8">
        <f t="shared" si="5"/>
        <v>13.514757834757802</v>
      </c>
      <c r="S47" s="8">
        <v>-19.25</v>
      </c>
      <c r="T47" s="13">
        <v>1.2353000000000001</v>
      </c>
      <c r="U47" s="15">
        <v>0.87119999999999997</v>
      </c>
      <c r="V47" s="8">
        <f t="shared" si="1"/>
        <v>0.29007076381736313</v>
      </c>
      <c r="W47" s="8">
        <f t="shared" si="6"/>
        <v>0.83078079699566665</v>
      </c>
      <c r="X47" s="8">
        <f t="shared" si="7"/>
        <v>4532.3556846462989</v>
      </c>
      <c r="Y47" s="8"/>
      <c r="Z47" s="8"/>
    </row>
    <row r="48" spans="1:32">
      <c r="A48" t="s">
        <v>75</v>
      </c>
      <c r="B48" t="s">
        <v>76</v>
      </c>
      <c r="C48" s="2">
        <v>45319.369305555563</v>
      </c>
      <c r="D48">
        <v>-52.07</v>
      </c>
      <c r="E48">
        <v>0.17</v>
      </c>
      <c r="F48">
        <v>-52.22</v>
      </c>
      <c r="G48">
        <v>0.22</v>
      </c>
      <c r="H48">
        <v>-7.63</v>
      </c>
      <c r="I48">
        <v>0.01</v>
      </c>
      <c r="J48">
        <v>91.9</v>
      </c>
      <c r="K48" s="17">
        <v>120</v>
      </c>
      <c r="L48">
        <v>2788.6</v>
      </c>
      <c r="M48" s="7">
        <f t="shared" si="2"/>
        <v>0.96809581669848976</v>
      </c>
      <c r="N48">
        <v>-7.63</v>
      </c>
      <c r="O48" s="8">
        <f>M48*ENT+(1-M48)*-5.72</f>
        <v>-6.5622433605276855</v>
      </c>
      <c r="P48">
        <f t="shared" si="0"/>
        <v>1.9899003239999997E-3</v>
      </c>
      <c r="Q48" s="8">
        <f t="shared" si="4"/>
        <v>-39.18760609357998</v>
      </c>
      <c r="R48" s="8">
        <f t="shared" si="5"/>
        <v>11.362393906420017</v>
      </c>
      <c r="S48" s="8">
        <v>-19.25</v>
      </c>
      <c r="T48" s="8"/>
      <c r="U48" s="15"/>
      <c r="V48" s="8">
        <f t="shared" si="1"/>
        <v>0.24583948952362447</v>
      </c>
      <c r="W48" s="8">
        <f t="shared" si="6"/>
        <v>0.7040996629637557</v>
      </c>
      <c r="X48" s="8">
        <f t="shared" si="7"/>
        <v>3841.242023806632</v>
      </c>
      <c r="Y48" s="8"/>
      <c r="Z48" s="8"/>
    </row>
    <row r="49" spans="1:21">
      <c r="A49" t="s">
        <v>75</v>
      </c>
      <c r="B49" t="s">
        <v>76</v>
      </c>
      <c r="C49" s="2">
        <v>45321.084097222221</v>
      </c>
      <c r="D49">
        <v>-52.38</v>
      </c>
      <c r="E49">
        <v>0.12</v>
      </c>
      <c r="F49">
        <v>-52.22</v>
      </c>
      <c r="G49">
        <v>0.22</v>
      </c>
      <c r="H49">
        <v>-7.63</v>
      </c>
      <c r="I49">
        <v>0.02</v>
      </c>
      <c r="J49">
        <v>91.9</v>
      </c>
      <c r="K49" s="17">
        <v>120</v>
      </c>
      <c r="L49">
        <v>2788.6</v>
      </c>
      <c r="M49" s="7">
        <f t="shared" si="2"/>
        <v>0.96809581669848976</v>
      </c>
      <c r="N49">
        <v>-7.63</v>
      </c>
      <c r="O49" s="8">
        <f>M49*ENT+(1-M49)*-5.72</f>
        <v>-6.5622433605276855</v>
      </c>
      <c r="P49">
        <f t="shared" si="0"/>
        <v>1.9899003239999997E-3</v>
      </c>
      <c r="Q49" s="8">
        <f t="shared" ref="Q49" si="9">((J49+L49)*N49-L49*ENT)/J49</f>
        <v>-39.18760609357998</v>
      </c>
      <c r="R49" s="8">
        <f t="shared" ref="R49" si="10">Q49-USGS49</f>
        <v>11.362393906420017</v>
      </c>
      <c r="S49" s="8">
        <v>-19.25</v>
      </c>
      <c r="T49" s="8"/>
      <c r="U49" s="15"/>
    </row>
    <row r="50" spans="1:21">
      <c r="A50" t="s">
        <v>77</v>
      </c>
      <c r="B50" t="s">
        <v>78</v>
      </c>
      <c r="C50" s="2">
        <v>45318.865381944437</v>
      </c>
      <c r="D50">
        <v>-216.36</v>
      </c>
      <c r="E50">
        <v>0.22</v>
      </c>
      <c r="F50">
        <v>-216.43</v>
      </c>
      <c r="G50">
        <v>0.1</v>
      </c>
      <c r="H50">
        <v>-28.2</v>
      </c>
      <c r="I50">
        <v>0.02</v>
      </c>
      <c r="J50">
        <v>830</v>
      </c>
      <c r="K50" s="17">
        <v>120</v>
      </c>
      <c r="L50">
        <v>1670</v>
      </c>
      <c r="M50" s="7">
        <f t="shared" si="2"/>
        <v>0.66800000000000004</v>
      </c>
      <c r="N50">
        <v>-28.2</v>
      </c>
      <c r="O50" s="8">
        <f t="shared" ref="O50:O59" si="11">M50*ENT+(1-M50)*USGS49</f>
        <v>-21.184719999999999</v>
      </c>
      <c r="P50">
        <f t="shared" si="0"/>
        <v>1.9486533599999999E-3</v>
      </c>
    </row>
    <row r="51" spans="1:21">
      <c r="A51" t="s">
        <v>77</v>
      </c>
      <c r="B51" t="s">
        <v>78</v>
      </c>
      <c r="C51" s="2">
        <v>45320.579872685194</v>
      </c>
      <c r="D51">
        <v>-216.5</v>
      </c>
      <c r="E51">
        <v>0.13</v>
      </c>
      <c r="F51">
        <v>-216.43</v>
      </c>
      <c r="G51">
        <v>0.1</v>
      </c>
      <c r="H51">
        <v>-28.21</v>
      </c>
      <c r="I51">
        <v>0.02</v>
      </c>
      <c r="J51">
        <v>830</v>
      </c>
      <c r="K51" s="17">
        <v>120</v>
      </c>
      <c r="L51">
        <v>1670</v>
      </c>
      <c r="M51" s="7">
        <f t="shared" si="2"/>
        <v>0.66800000000000004</v>
      </c>
      <c r="N51">
        <v>-28.2</v>
      </c>
      <c r="O51" s="8">
        <f t="shared" si="11"/>
        <v>-21.184719999999999</v>
      </c>
      <c r="P51">
        <f t="shared" si="0"/>
        <v>1.9486533599999999E-3</v>
      </c>
    </row>
    <row r="52" spans="1:21">
      <c r="A52" t="s">
        <v>79</v>
      </c>
      <c r="B52" t="s">
        <v>80</v>
      </c>
      <c r="C52" s="2">
        <v>45318.91578703704</v>
      </c>
      <c r="D52">
        <v>-157.18</v>
      </c>
      <c r="E52">
        <v>0.17</v>
      </c>
      <c r="F52">
        <v>-157.24</v>
      </c>
      <c r="G52">
        <v>0.09</v>
      </c>
      <c r="H52">
        <v>-20.84</v>
      </c>
      <c r="I52">
        <v>0.01</v>
      </c>
      <c r="J52">
        <v>630</v>
      </c>
      <c r="K52" s="17">
        <v>120</v>
      </c>
      <c r="L52">
        <v>1880</v>
      </c>
      <c r="M52" s="7">
        <f t="shared" si="2"/>
        <v>0.74900398406374502</v>
      </c>
      <c r="N52">
        <v>-20.84</v>
      </c>
      <c r="O52" s="8">
        <f t="shared" si="11"/>
        <v>-17.62378486055777</v>
      </c>
      <c r="P52">
        <f t="shared" si="0"/>
        <v>1.9634116320000001E-3</v>
      </c>
    </row>
    <row r="53" spans="1:21">
      <c r="A53" t="s">
        <v>79</v>
      </c>
      <c r="B53" t="s">
        <v>80</v>
      </c>
      <c r="C53" s="2">
        <v>45320.630300925928</v>
      </c>
      <c r="D53">
        <v>-157.31</v>
      </c>
      <c r="E53">
        <v>0.22</v>
      </c>
      <c r="F53">
        <v>-157.24</v>
      </c>
      <c r="G53">
        <v>0.09</v>
      </c>
      <c r="H53">
        <v>-20.83</v>
      </c>
      <c r="I53">
        <v>0.02</v>
      </c>
      <c r="J53">
        <v>630</v>
      </c>
      <c r="K53" s="17">
        <v>120</v>
      </c>
      <c r="L53">
        <v>1880</v>
      </c>
      <c r="M53" s="7">
        <f t="shared" si="2"/>
        <v>0.74900398406374502</v>
      </c>
      <c r="N53">
        <v>-20.84</v>
      </c>
      <c r="O53" s="8">
        <f t="shared" si="11"/>
        <v>-17.62378486055777</v>
      </c>
      <c r="P53">
        <f t="shared" si="0"/>
        <v>1.9634116320000001E-3</v>
      </c>
    </row>
    <row r="54" spans="1:21">
      <c r="A54" t="s">
        <v>81</v>
      </c>
      <c r="B54" t="s">
        <v>82</v>
      </c>
      <c r="C54" s="2">
        <v>45318.966180555559</v>
      </c>
      <c r="D54">
        <v>-128.28</v>
      </c>
      <c r="E54">
        <v>0.14000000000000001</v>
      </c>
      <c r="F54">
        <v>-128.33000000000001</v>
      </c>
      <c r="G54">
        <v>0.06</v>
      </c>
      <c r="H54">
        <v>-17.309999999999999</v>
      </c>
      <c r="I54">
        <v>0.02</v>
      </c>
      <c r="J54">
        <v>50</v>
      </c>
      <c r="K54" s="17">
        <v>120</v>
      </c>
      <c r="L54">
        <v>2000</v>
      </c>
      <c r="M54" s="7">
        <f t="shared" si="2"/>
        <v>0.97560975609756095</v>
      </c>
      <c r="N54">
        <v>-17.3</v>
      </c>
      <c r="O54" s="8">
        <f t="shared" si="11"/>
        <v>-7.6621951219512203</v>
      </c>
      <c r="P54">
        <f t="shared" si="0"/>
        <v>1.9705100399999998E-3</v>
      </c>
    </row>
    <row r="55" spans="1:21">
      <c r="A55" t="s">
        <v>81</v>
      </c>
      <c r="B55" t="s">
        <v>82</v>
      </c>
      <c r="C55" s="2">
        <v>45320.68072916667</v>
      </c>
      <c r="D55">
        <v>-128.37</v>
      </c>
      <c r="E55">
        <v>0.12</v>
      </c>
      <c r="F55">
        <v>-128.33000000000001</v>
      </c>
      <c r="G55">
        <v>0.06</v>
      </c>
      <c r="H55">
        <v>-17.3</v>
      </c>
      <c r="I55">
        <v>0.01</v>
      </c>
      <c r="J55">
        <v>50</v>
      </c>
      <c r="K55" s="17">
        <v>120</v>
      </c>
      <c r="L55">
        <v>2000</v>
      </c>
      <c r="M55" s="7">
        <f t="shared" si="2"/>
        <v>0.97560975609756095</v>
      </c>
      <c r="N55">
        <v>-17.3</v>
      </c>
      <c r="O55" s="8">
        <f t="shared" si="11"/>
        <v>-7.6621951219512203</v>
      </c>
      <c r="P55">
        <f t="shared" si="0"/>
        <v>1.9705100399999998E-3</v>
      </c>
    </row>
    <row r="56" spans="1:21">
      <c r="A56" t="s">
        <v>83</v>
      </c>
      <c r="B56" t="s">
        <v>84</v>
      </c>
      <c r="C56" s="2">
        <v>45319.016585648147</v>
      </c>
      <c r="D56">
        <v>-132.01</v>
      </c>
      <c r="E56">
        <v>0.09</v>
      </c>
      <c r="F56">
        <v>-132</v>
      </c>
      <c r="G56">
        <v>0.02</v>
      </c>
      <c r="H56">
        <v>-17.75</v>
      </c>
      <c r="I56">
        <v>0.02</v>
      </c>
      <c r="J56">
        <v>50</v>
      </c>
      <c r="K56" s="17">
        <v>120</v>
      </c>
      <c r="L56">
        <v>2000</v>
      </c>
      <c r="M56" s="7">
        <f t="shared" si="2"/>
        <v>0.97560975609756095</v>
      </c>
      <c r="N56">
        <v>-17.739999999999998</v>
      </c>
      <c r="O56" s="8">
        <f t="shared" si="11"/>
        <v>-7.6621951219512203</v>
      </c>
      <c r="P56">
        <f t="shared" si="0"/>
        <v>1.9696277519999999E-3</v>
      </c>
    </row>
    <row r="57" spans="1:21">
      <c r="A57" t="s">
        <v>83</v>
      </c>
      <c r="B57" t="s">
        <v>84</v>
      </c>
      <c r="C57" s="2">
        <v>45320.731168981481</v>
      </c>
      <c r="D57">
        <v>-131.99</v>
      </c>
      <c r="E57">
        <v>0.11</v>
      </c>
      <c r="F57">
        <v>-132</v>
      </c>
      <c r="G57">
        <v>0.02</v>
      </c>
      <c r="H57">
        <v>-17.73</v>
      </c>
      <c r="I57">
        <v>0.01</v>
      </c>
      <c r="J57">
        <v>50</v>
      </c>
      <c r="K57" s="17">
        <v>120</v>
      </c>
      <c r="L57">
        <v>2000</v>
      </c>
      <c r="M57" s="7">
        <f t="shared" si="2"/>
        <v>0.97560975609756095</v>
      </c>
      <c r="N57">
        <v>-17.739999999999998</v>
      </c>
      <c r="O57" s="8">
        <f t="shared" si="11"/>
        <v>-7.6621951219512203</v>
      </c>
      <c r="P57">
        <f t="shared" si="0"/>
        <v>1.9696277519999999E-3</v>
      </c>
    </row>
    <row r="58" spans="1:21">
      <c r="A58" t="s">
        <v>85</v>
      </c>
      <c r="B58" t="s">
        <v>86</v>
      </c>
      <c r="C58" s="2">
        <v>45319.066990740743</v>
      </c>
      <c r="D58">
        <v>-112.11</v>
      </c>
      <c r="E58">
        <v>0.04</v>
      </c>
      <c r="F58">
        <v>-112.21</v>
      </c>
      <c r="G58">
        <v>0.13</v>
      </c>
      <c r="H58">
        <v>-15.3</v>
      </c>
      <c r="I58">
        <v>0.01</v>
      </c>
      <c r="J58">
        <v>1250</v>
      </c>
      <c r="K58" s="17">
        <v>120</v>
      </c>
      <c r="L58">
        <v>1250</v>
      </c>
      <c r="M58" s="7">
        <f t="shared" si="2"/>
        <v>0.5</v>
      </c>
      <c r="N58">
        <v>-15.29</v>
      </c>
      <c r="O58" s="8">
        <f t="shared" si="11"/>
        <v>-28.57</v>
      </c>
      <c r="P58">
        <f t="shared" si="0"/>
        <v>1.9745404920000001E-3</v>
      </c>
    </row>
    <row r="59" spans="1:21">
      <c r="A59" t="s">
        <v>85</v>
      </c>
      <c r="B59" t="s">
        <v>86</v>
      </c>
      <c r="C59" s="2">
        <v>45320.781608796293</v>
      </c>
      <c r="D59">
        <v>-112.3</v>
      </c>
      <c r="E59">
        <v>0.32</v>
      </c>
      <c r="F59">
        <v>-112.21</v>
      </c>
      <c r="G59">
        <v>0.13</v>
      </c>
      <c r="H59">
        <v>-15.28</v>
      </c>
      <c r="I59">
        <v>0.03</v>
      </c>
      <c r="J59">
        <v>1250</v>
      </c>
      <c r="K59" s="17">
        <v>120</v>
      </c>
      <c r="L59">
        <v>1250</v>
      </c>
      <c r="M59" s="7">
        <f t="shared" si="2"/>
        <v>0.5</v>
      </c>
      <c r="N59">
        <v>-15.29</v>
      </c>
      <c r="O59" s="8">
        <f t="shared" si="11"/>
        <v>-28.57</v>
      </c>
      <c r="P59">
        <f t="shared" si="0"/>
        <v>1.9745404920000001E-3</v>
      </c>
    </row>
    <row r="60" spans="1:21">
      <c r="A60" t="s">
        <v>87</v>
      </c>
      <c r="B60" t="s">
        <v>88</v>
      </c>
      <c r="C60" s="2">
        <v>45486.674571759257</v>
      </c>
      <c r="D60">
        <v>-390.63</v>
      </c>
      <c r="E60">
        <v>0.83</v>
      </c>
      <c r="F60">
        <v>-390.38</v>
      </c>
      <c r="G60">
        <v>0.36</v>
      </c>
      <c r="H60">
        <v>-49.6</v>
      </c>
      <c r="I60">
        <v>0.05</v>
      </c>
      <c r="M60" s="7"/>
      <c r="N60">
        <v>-49.58</v>
      </c>
    </row>
    <row r="61" spans="1:21">
      <c r="A61" t="s">
        <v>87</v>
      </c>
      <c r="B61" t="s">
        <v>88</v>
      </c>
      <c r="C61" s="2">
        <v>45491.110069444447</v>
      </c>
      <c r="D61">
        <v>-390.13</v>
      </c>
      <c r="E61">
        <v>0.96</v>
      </c>
      <c r="F61">
        <v>-390.38</v>
      </c>
      <c r="G61">
        <v>0.36</v>
      </c>
      <c r="H61">
        <v>-49.57</v>
      </c>
      <c r="I61">
        <v>7.0000000000000007E-2</v>
      </c>
      <c r="M61" s="7"/>
      <c r="N61">
        <v>-49.58</v>
      </c>
    </row>
    <row r="62" spans="1:21">
      <c r="A62" t="s">
        <v>89</v>
      </c>
      <c r="B62" t="s">
        <v>90</v>
      </c>
      <c r="C62" s="2">
        <v>45319.419675925928</v>
      </c>
      <c r="D62">
        <v>-40.54</v>
      </c>
      <c r="E62">
        <v>0.06</v>
      </c>
      <c r="F62">
        <v>-40.6</v>
      </c>
      <c r="G62">
        <v>0.08</v>
      </c>
      <c r="H62">
        <v>-6.59</v>
      </c>
      <c r="I62">
        <v>0.03</v>
      </c>
      <c r="M62" s="7"/>
      <c r="N62">
        <v>-6.59</v>
      </c>
    </row>
    <row r="63" spans="1:21">
      <c r="A63" t="s">
        <v>89</v>
      </c>
      <c r="B63" t="s">
        <v>90</v>
      </c>
      <c r="C63" s="2">
        <v>45321.134502314817</v>
      </c>
      <c r="D63">
        <v>-40.65</v>
      </c>
      <c r="E63">
        <v>0.22</v>
      </c>
      <c r="F63">
        <v>-40.6</v>
      </c>
      <c r="G63">
        <v>0.08</v>
      </c>
      <c r="H63">
        <v>-6.59</v>
      </c>
      <c r="I63">
        <v>0.03</v>
      </c>
      <c r="M63" s="7"/>
      <c r="N63">
        <v>-6.59</v>
      </c>
    </row>
    <row r="64" spans="1:21">
      <c r="A64" t="s">
        <v>91</v>
      </c>
      <c r="B64" t="s">
        <v>92</v>
      </c>
      <c r="C64" s="2">
        <v>45319.218194444453</v>
      </c>
      <c r="D64">
        <v>-39.15</v>
      </c>
      <c r="E64">
        <v>0.05</v>
      </c>
      <c r="F64">
        <v>-39.18</v>
      </c>
      <c r="G64">
        <v>0.05</v>
      </c>
      <c r="H64">
        <v>-5.8</v>
      </c>
      <c r="I64">
        <v>0.01</v>
      </c>
      <c r="M64" s="7"/>
      <c r="N64">
        <v>-5.81</v>
      </c>
      <c r="O64" s="8"/>
    </row>
    <row r="65" spans="1:25">
      <c r="A65" t="s">
        <v>91</v>
      </c>
      <c r="B65" t="s">
        <v>92</v>
      </c>
      <c r="C65" s="2">
        <v>45320.932905092603</v>
      </c>
      <c r="D65">
        <v>-39.21</v>
      </c>
      <c r="E65">
        <v>0.19</v>
      </c>
      <c r="F65">
        <v>-39.18</v>
      </c>
      <c r="G65">
        <v>0.05</v>
      </c>
      <c r="H65">
        <v>-5.83</v>
      </c>
      <c r="I65">
        <v>0.04</v>
      </c>
      <c r="M65" s="7"/>
      <c r="N65">
        <v>-5.81</v>
      </c>
      <c r="O65" s="8"/>
    </row>
    <row r="66" spans="1:25">
      <c r="A66" t="s">
        <v>93</v>
      </c>
      <c r="B66" t="s">
        <v>94</v>
      </c>
      <c r="C66" s="2">
        <v>45319.318935185183</v>
      </c>
      <c r="D66">
        <v>-38.799999999999997</v>
      </c>
      <c r="E66">
        <v>0.09</v>
      </c>
      <c r="F66">
        <v>-38.840000000000003</v>
      </c>
      <c r="G66">
        <v>0.06</v>
      </c>
      <c r="H66">
        <v>-5.73</v>
      </c>
      <c r="I66">
        <v>0.03</v>
      </c>
      <c r="M66" s="7"/>
      <c r="N66">
        <v>-5.72</v>
      </c>
      <c r="O66" s="8"/>
    </row>
    <row r="67" spans="1:25">
      <c r="A67" t="s">
        <v>93</v>
      </c>
      <c r="B67" t="s">
        <v>94</v>
      </c>
      <c r="C67" s="2">
        <v>45321.033715277779</v>
      </c>
      <c r="D67">
        <v>-38.880000000000003</v>
      </c>
      <c r="E67">
        <v>0.26</v>
      </c>
      <c r="F67">
        <v>-38.840000000000003</v>
      </c>
      <c r="G67">
        <v>0.06</v>
      </c>
      <c r="H67">
        <v>-5.72</v>
      </c>
      <c r="I67">
        <v>0.03</v>
      </c>
      <c r="M67" s="7"/>
      <c r="N67">
        <v>-5.72</v>
      </c>
      <c r="O67" s="8"/>
    </row>
    <row r="68" spans="1:25" ht="16">
      <c r="A68" t="s">
        <v>95</v>
      </c>
      <c r="B68" t="s">
        <v>96</v>
      </c>
      <c r="C68" s="2">
        <v>45806.077870370369</v>
      </c>
      <c r="D68">
        <v>-36.590000000000003</v>
      </c>
      <c r="E68">
        <v>0.06</v>
      </c>
      <c r="F68">
        <v>-36.590000000000003</v>
      </c>
      <c r="H68">
        <v>-5.96</v>
      </c>
      <c r="I68">
        <v>0.01</v>
      </c>
      <c r="J68">
        <v>60.9</v>
      </c>
      <c r="K68">
        <v>136.6</v>
      </c>
      <c r="L68">
        <v>2758.9</v>
      </c>
      <c r="M68" s="7">
        <f t="shared" ref="M68:M72" si="12">L68/(L68+J68)</f>
        <v>0.9784027235974182</v>
      </c>
      <c r="N68">
        <f>H68</f>
        <v>-5.96</v>
      </c>
      <c r="O68" s="8">
        <f>M68*ENT+(1-M68)*USGS49</f>
        <v>-7.5394162706574956</v>
      </c>
      <c r="P68">
        <f>N68*0.001*AB$12+AB$12</f>
        <v>1.9932490079999999E-3</v>
      </c>
      <c r="Q68" s="8">
        <f>((J68+L68)*N68-L68*ENT)/J68</f>
        <v>22.58034482758621</v>
      </c>
      <c r="R68" s="8">
        <f t="shared" ref="R68:R72" si="13">Q68-USGS49</f>
        <v>73.130344827586214</v>
      </c>
      <c r="S68" s="16">
        <v>20.77</v>
      </c>
      <c r="T68" s="8">
        <v>0.85770000000000002</v>
      </c>
      <c r="U68" s="15">
        <v>0.87119999999999997</v>
      </c>
      <c r="V68" s="8">
        <f t="shared" ref="V68:V72" si="14">(((16/18)*K68/1000+(32/61)*T68/1000)*Q68-(16/18)*(K68/1000)*USGS49-(32/61)*(T68/1000)*S68)/4.93</f>
        <v>1.8013110606846459</v>
      </c>
      <c r="W68" s="8">
        <f t="shared" ref="W68:W72" si="15">V68*183.3/(4*16)</f>
        <v>5.1590674597421184</v>
      </c>
      <c r="X68" s="8">
        <f t="shared" ref="X68:X72" si="16">1000000*W68/183.3</f>
        <v>28145.48532319759</v>
      </c>
      <c r="Y68" s="8"/>
    </row>
    <row r="69" spans="1:25" ht="16">
      <c r="A69" t="s">
        <v>97</v>
      </c>
      <c r="B69" t="s">
        <v>98</v>
      </c>
      <c r="C69" s="2">
        <v>45806.138136574067</v>
      </c>
      <c r="D69">
        <v>-33.520000000000003</v>
      </c>
      <c r="E69">
        <v>0.04</v>
      </c>
      <c r="F69">
        <v>-33.520000000000003</v>
      </c>
      <c r="H69">
        <v>-5.61</v>
      </c>
      <c r="I69">
        <v>0.02</v>
      </c>
      <c r="J69">
        <v>30.4</v>
      </c>
      <c r="K69">
        <v>112.5</v>
      </c>
      <c r="L69">
        <v>2734.6</v>
      </c>
      <c r="M69" s="7">
        <f t="shared" si="12"/>
        <v>0.98900542495479205</v>
      </c>
      <c r="N69">
        <f t="shared" ref="N69:N72" si="17">H69</f>
        <v>-5.61</v>
      </c>
      <c r="O69" s="8">
        <f>M69*ENT+(1-M69)*USGS49</f>
        <v>-7.0733215189873411</v>
      </c>
      <c r="P69">
        <f>N69*0.001*AB$12+AB$12</f>
        <v>1.9939508280000001E-3</v>
      </c>
      <c r="Q69" s="8">
        <f>((J69+L69)*N69-L69*ENT)/J69</f>
        <v>82.544868421052556</v>
      </c>
      <c r="R69" s="8">
        <f t="shared" si="13"/>
        <v>133.09486842105255</v>
      </c>
      <c r="S69" s="16">
        <v>20.77</v>
      </c>
      <c r="T69" s="8">
        <v>0.68589999999999995</v>
      </c>
      <c r="U69" s="15">
        <v>0.87119999999999997</v>
      </c>
      <c r="V69" s="8">
        <f t="shared" si="14"/>
        <v>2.7042017144961283</v>
      </c>
      <c r="W69" s="8">
        <f t="shared" si="15"/>
        <v>7.7450027229240677</v>
      </c>
      <c r="X69" s="8">
        <f t="shared" si="16"/>
        <v>42253.151789002004</v>
      </c>
      <c r="Y69" s="8"/>
    </row>
    <row r="70" spans="1:25" ht="16">
      <c r="A70" t="s">
        <v>99</v>
      </c>
      <c r="B70" t="s">
        <v>100</v>
      </c>
      <c r="C70" s="2">
        <v>45806.198425925933</v>
      </c>
      <c r="D70">
        <v>-30.97</v>
      </c>
      <c r="E70">
        <v>0.08</v>
      </c>
      <c r="F70">
        <v>-30.97</v>
      </c>
      <c r="H70">
        <v>-5.33</v>
      </c>
      <c r="I70">
        <v>0.02</v>
      </c>
      <c r="J70">
        <v>139.4</v>
      </c>
      <c r="K70">
        <v>129.19999999999999</v>
      </c>
      <c r="L70">
        <v>2648.2</v>
      </c>
      <c r="M70" s="7">
        <f t="shared" si="12"/>
        <v>0.94999282536949348</v>
      </c>
      <c r="N70">
        <f t="shared" si="17"/>
        <v>-5.33</v>
      </c>
      <c r="O70" s="8">
        <f>M70*ENT+(1-M70)*USGS49</f>
        <v>-8.7883153967570671</v>
      </c>
      <c r="P70">
        <f>N70*0.001*AB$12+AB$12</f>
        <v>1.9945122840000001E-3</v>
      </c>
      <c r="Q70" s="8">
        <f>((J70+L70)*N70-L70*ENT)/J70</f>
        <v>18.606384505021516</v>
      </c>
      <c r="R70" s="8">
        <f t="shared" si="13"/>
        <v>69.156384505021521</v>
      </c>
      <c r="S70" s="16">
        <v>20.77</v>
      </c>
      <c r="T70" s="8">
        <v>0.77080000000000004</v>
      </c>
      <c r="U70" s="15">
        <v>0.87119999999999997</v>
      </c>
      <c r="V70" s="8">
        <f t="shared" si="14"/>
        <v>1.6108218441121518</v>
      </c>
      <c r="W70" s="8">
        <f t="shared" si="15"/>
        <v>4.6134944379024603</v>
      </c>
      <c r="X70" s="8">
        <f t="shared" si="16"/>
        <v>25169.091314252371</v>
      </c>
      <c r="Y70" s="8"/>
    </row>
    <row r="71" spans="1:25" ht="16">
      <c r="A71" t="s">
        <v>101</v>
      </c>
      <c r="B71" t="s">
        <v>102</v>
      </c>
      <c r="C71" s="2">
        <v>45806.258738425917</v>
      </c>
      <c r="D71">
        <v>-91.47</v>
      </c>
      <c r="E71">
        <v>0.22</v>
      </c>
      <c r="F71">
        <v>-91.47</v>
      </c>
      <c r="H71">
        <v>-15.84</v>
      </c>
      <c r="I71">
        <v>0.08</v>
      </c>
      <c r="J71">
        <v>84.7</v>
      </c>
      <c r="K71">
        <v>96.8</v>
      </c>
      <c r="L71">
        <v>290.60000000000002</v>
      </c>
      <c r="M71" s="7">
        <f t="shared" si="12"/>
        <v>0.77431388222755138</v>
      </c>
      <c r="N71">
        <f t="shared" si="17"/>
        <v>-15.84</v>
      </c>
      <c r="O71" s="8">
        <f>M71*ENT+(1-M71)*USGS49</f>
        <v>-16.51116173727684</v>
      </c>
      <c r="P71">
        <f>N71*0.001*AB$12+AB$12</f>
        <v>1.9734376319999998E-3</v>
      </c>
      <c r="Q71" s="8">
        <f>((J71+L71)*N71-L71*ENT)/J71</f>
        <v>-47.576127508854782</v>
      </c>
      <c r="R71" s="8">
        <f t="shared" si="13"/>
        <v>2.9738724911452152</v>
      </c>
      <c r="S71" s="16">
        <v>20.77</v>
      </c>
      <c r="T71" s="8">
        <v>0.28899999999999998</v>
      </c>
      <c r="U71" s="15">
        <v>0.58079999999999998</v>
      </c>
      <c r="V71" s="8">
        <f t="shared" si="14"/>
        <v>4.9801923985301359E-2</v>
      </c>
      <c r="W71" s="8">
        <f t="shared" si="15"/>
        <v>0.14263582291415219</v>
      </c>
      <c r="X71" s="8">
        <f t="shared" si="16"/>
        <v>778.15506227033381</v>
      </c>
      <c r="Y71" s="8"/>
    </row>
    <row r="72" spans="1:25" ht="16">
      <c r="A72" t="s">
        <v>103</v>
      </c>
      <c r="B72" t="s">
        <v>104</v>
      </c>
      <c r="C72" s="2">
        <v>45806.319074074083</v>
      </c>
      <c r="D72">
        <v>-30.28</v>
      </c>
      <c r="E72">
        <v>0.22</v>
      </c>
      <c r="F72">
        <v>-30.28</v>
      </c>
      <c r="H72">
        <v>-5.46</v>
      </c>
      <c r="I72">
        <v>0.04</v>
      </c>
      <c r="J72">
        <v>55.6</v>
      </c>
      <c r="K72">
        <v>92.1</v>
      </c>
      <c r="L72">
        <v>315.60000000000002</v>
      </c>
      <c r="M72" s="7">
        <f t="shared" si="12"/>
        <v>0.85021551724137923</v>
      </c>
      <c r="N72">
        <f t="shared" si="17"/>
        <v>-5.46</v>
      </c>
      <c r="O72" s="8">
        <f>M72*ENT+(1-M72)*USGS49</f>
        <v>-13.174525862068968</v>
      </c>
      <c r="P72">
        <f>N72*0.001*AB$12+AB$12</f>
        <v>1.994251608E-3</v>
      </c>
      <c r="Q72" s="8">
        <f>((J72+L72)*N72-L72*ENT)/J72</f>
        <v>0.95417266187050187</v>
      </c>
      <c r="R72" s="8">
        <f t="shared" si="13"/>
        <v>51.504172661870498</v>
      </c>
      <c r="S72" s="16">
        <v>20.77</v>
      </c>
      <c r="T72" s="8">
        <v>0.84740000000000004</v>
      </c>
      <c r="U72" s="15">
        <v>0.87119999999999997</v>
      </c>
      <c r="V72" s="8">
        <f t="shared" si="14"/>
        <v>0.85348195798090365</v>
      </c>
      <c r="W72" s="8">
        <f t="shared" si="15"/>
        <v>2.4444256702796818</v>
      </c>
      <c r="X72" s="8">
        <f t="shared" si="16"/>
        <v>13335.655593451618</v>
      </c>
      <c r="Y72" s="8"/>
    </row>
  </sheetData>
  <phoneticPr fontId="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ACA-03FF-4FF3-8042-3A8DD0E69244}">
  <dimension ref="A1:W12"/>
  <sheetViews>
    <sheetView tabSelected="1" workbookViewId="0">
      <selection activeCell="P8" sqref="P8"/>
    </sheetView>
  </sheetViews>
  <sheetFormatPr defaultRowHeight="15.5"/>
  <cols>
    <col min="1" max="1" width="6.5" bestFit="1" customWidth="1"/>
    <col min="2" max="2" width="17.83203125" bestFit="1" customWidth="1"/>
    <col min="3" max="3" width="6.5" bestFit="1" customWidth="1"/>
    <col min="4" max="4" width="4.83203125" bestFit="1" customWidth="1"/>
    <col min="5" max="5" width="6.5" bestFit="1" customWidth="1"/>
    <col min="6" max="6" width="4.83203125" bestFit="1" customWidth="1"/>
    <col min="7" max="7" width="6.5" bestFit="1" customWidth="1"/>
    <col min="8" max="8" width="4.83203125" bestFit="1" customWidth="1"/>
    <col min="9" max="10" width="5.83203125" bestFit="1" customWidth="1"/>
    <col min="11" max="11" width="6.83203125" customWidth="1"/>
    <col min="12" max="12" width="5.33203125" bestFit="1" customWidth="1"/>
    <col min="13" max="13" width="6.5" bestFit="1" customWidth="1"/>
    <col min="14" max="14" width="6" bestFit="1" customWidth="1"/>
    <col min="15" max="15" width="11.83203125" bestFit="1" customWidth="1"/>
    <col min="16" max="16" width="6" bestFit="1" customWidth="1"/>
    <col min="17" max="17" width="6.33203125" bestFit="1" customWidth="1"/>
    <col min="18" max="18" width="6.75" bestFit="1" customWidth="1"/>
    <col min="19" max="19" width="6.83203125" bestFit="1" customWidth="1"/>
    <col min="20" max="20" width="5.33203125" bestFit="1" customWidth="1"/>
    <col min="21" max="22" width="4.33203125" bestFit="1" customWidth="1"/>
    <col min="23" max="23" width="5.83203125" bestFit="1" customWidth="1"/>
  </cols>
  <sheetData>
    <row r="1" spans="1:23" ht="72.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105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0" t="s">
        <v>14</v>
      </c>
      <c r="P1" s="11" t="s">
        <v>15</v>
      </c>
      <c r="Q1" s="11" t="s">
        <v>16</v>
      </c>
      <c r="R1" s="11" t="s">
        <v>106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</row>
    <row r="2" spans="1:23">
      <c r="A2" t="s">
        <v>107</v>
      </c>
      <c r="B2" s="2">
        <v>45319.369305555563</v>
      </c>
      <c r="C2">
        <v>-52.07</v>
      </c>
      <c r="D2">
        <v>0.17</v>
      </c>
      <c r="E2">
        <v>-52.22</v>
      </c>
      <c r="F2">
        <v>0.22</v>
      </c>
      <c r="G2">
        <v>-7.63</v>
      </c>
      <c r="H2">
        <v>0.01</v>
      </c>
      <c r="I2">
        <v>91.9</v>
      </c>
      <c r="J2" s="19">
        <v>120</v>
      </c>
      <c r="K2">
        <v>2788.6</v>
      </c>
      <c r="L2" s="7">
        <f t="shared" ref="L2:L12" si="0">K2/(K2+I2)</f>
        <v>0.96809581669848976</v>
      </c>
      <c r="M2">
        <f t="shared" ref="M2:M7" si="1">G2</f>
        <v>-7.63</v>
      </c>
      <c r="N2" s="8">
        <f>L2*ENT+(1-L2)*-5.72</f>
        <v>-6.5622433605276855</v>
      </c>
      <c r="O2">
        <v>1.9899003239999997E-3</v>
      </c>
      <c r="P2" s="8">
        <f t="shared" ref="P2:P12" si="2">((I2+K2)*M2-K2*ENT)/I2</f>
        <v>-39.18760609357998</v>
      </c>
      <c r="Q2" s="8">
        <f t="shared" ref="Q2:Q12" si="3">P2-USGS49</f>
        <v>11.362393906420017</v>
      </c>
      <c r="R2" s="8">
        <v>-19.25</v>
      </c>
      <c r="S2" s="18">
        <v>1.3466</v>
      </c>
      <c r="T2" s="7">
        <v>1.7000000000000001E-2</v>
      </c>
      <c r="U2" s="8">
        <f t="shared" ref="U2:U12" si="4">(((16/18)*J2/1000+(32/61)*S2/1000)*P2-(16/18)*(J2/1000)*USGS49-(32/61)*(S2/1000)*R2)/4.93</f>
        <v>0.24298265657812632</v>
      </c>
      <c r="V2" s="8">
        <f t="shared" ref="V2:V12" si="5">U2*183.3/(4*16)</f>
        <v>0.6959175148557899</v>
      </c>
      <c r="W2" s="6">
        <f t="shared" ref="W2:W12" si="6">1000000*V2/183.3</f>
        <v>3796.6040090332235</v>
      </c>
    </row>
    <row r="3" spans="1:23">
      <c r="A3" t="s">
        <v>108</v>
      </c>
      <c r="B3" s="2">
        <v>45319.268564814818</v>
      </c>
      <c r="C3">
        <v>-54.1</v>
      </c>
      <c r="D3">
        <v>0.01</v>
      </c>
      <c r="E3">
        <v>-54.13</v>
      </c>
      <c r="F3">
        <v>0.04</v>
      </c>
      <c r="G3">
        <v>-7.92</v>
      </c>
      <c r="H3">
        <v>0.01</v>
      </c>
      <c r="I3">
        <v>105.3</v>
      </c>
      <c r="J3" s="19">
        <v>120</v>
      </c>
      <c r="K3">
        <v>2323.4</v>
      </c>
      <c r="L3" s="7">
        <f t="shared" si="0"/>
        <v>0.95664347181619791</v>
      </c>
      <c r="M3">
        <f t="shared" si="1"/>
        <v>-7.92</v>
      </c>
      <c r="N3" s="8">
        <f>L3*ENT+(1-L3)*-5.81</f>
        <v>-6.5561819080166339</v>
      </c>
      <c r="O3">
        <v>1.9893388679999998E-3</v>
      </c>
      <c r="P3" s="8">
        <f t="shared" si="2"/>
        <v>-37.265887939221308</v>
      </c>
      <c r="Q3" s="8">
        <f t="shared" si="3"/>
        <v>13.284112060778689</v>
      </c>
      <c r="R3" s="8">
        <v>-19.25</v>
      </c>
      <c r="S3" s="18">
        <v>1.2353000000000001</v>
      </c>
      <c r="T3" s="7">
        <v>0.87119999999999997</v>
      </c>
      <c r="U3" s="8">
        <f t="shared" si="4"/>
        <v>0.28505013898929632</v>
      </c>
      <c r="V3" s="8">
        <f t="shared" si="5"/>
        <v>0.81640141369903152</v>
      </c>
      <c r="W3" s="6">
        <f t="shared" si="6"/>
        <v>4453.9084217077552</v>
      </c>
    </row>
    <row r="4" spans="1:23" ht="15.65" customHeight="1">
      <c r="A4" t="s">
        <v>109</v>
      </c>
      <c r="B4" s="2">
        <v>45486.169849537036</v>
      </c>
      <c r="C4">
        <v>-40.450000000000003</v>
      </c>
      <c r="D4">
        <v>0.13</v>
      </c>
      <c r="E4">
        <v>-40.340000000000003</v>
      </c>
      <c r="F4">
        <v>0.16</v>
      </c>
      <c r="G4">
        <v>-7.71</v>
      </c>
      <c r="H4">
        <v>0.03</v>
      </c>
      <c r="I4" s="5">
        <v>104.0568</v>
      </c>
      <c r="J4" s="19">
        <v>120</v>
      </c>
      <c r="K4">
        <v>2400</v>
      </c>
      <c r="L4" s="7">
        <f t="shared" si="0"/>
        <v>0.9584447125959763</v>
      </c>
      <c r="M4">
        <f t="shared" si="1"/>
        <v>-7.71</v>
      </c>
      <c r="N4" s="8">
        <f t="shared" ref="N4:N12" si="7">L4*ENT+(1-L4)*USGS49</f>
        <v>-8.4167704342808811</v>
      </c>
      <c r="O4">
        <v>1.9897599599999999E-3</v>
      </c>
      <c r="P4" s="8">
        <f t="shared" si="2"/>
        <v>-33.542045575108979</v>
      </c>
      <c r="Q4" s="8">
        <f t="shared" si="3"/>
        <v>17.007954424891018</v>
      </c>
      <c r="R4" s="8">
        <v>-19.25</v>
      </c>
      <c r="S4" s="18">
        <f>115.9289-114.8693</f>
        <v>1.0596000000000032</v>
      </c>
      <c r="T4" s="7">
        <v>1.488</v>
      </c>
      <c r="U4" s="8">
        <f t="shared" si="4"/>
        <v>0.36637677277591157</v>
      </c>
      <c r="V4" s="8">
        <f t="shared" si="5"/>
        <v>1.0493259757785094</v>
      </c>
      <c r="W4" s="6">
        <f t="shared" si="6"/>
        <v>5724.6370746236189</v>
      </c>
    </row>
    <row r="5" spans="1:23" ht="15.65" customHeight="1">
      <c r="A5" t="s">
        <v>110</v>
      </c>
      <c r="B5" s="2">
        <v>45486.5231712963</v>
      </c>
      <c r="C5">
        <v>-43.12</v>
      </c>
      <c r="D5">
        <v>0.14000000000000001</v>
      </c>
      <c r="E5">
        <v>-42.95</v>
      </c>
      <c r="F5">
        <v>0.24</v>
      </c>
      <c r="G5">
        <v>-7.77</v>
      </c>
      <c r="H5">
        <v>0.01</v>
      </c>
      <c r="I5" s="5">
        <f>1874.2572-1777.9436</f>
        <v>96.313599999999951</v>
      </c>
      <c r="J5" s="19">
        <v>120</v>
      </c>
      <c r="K5">
        <v>2400</v>
      </c>
      <c r="L5" s="7">
        <f t="shared" si="0"/>
        <v>0.96141766803658002</v>
      </c>
      <c r="M5">
        <f t="shared" si="1"/>
        <v>-7.77</v>
      </c>
      <c r="N5" s="8">
        <f t="shared" si="7"/>
        <v>-8.2860793131119426</v>
      </c>
      <c r="O5">
        <v>1.9896797519999999E-3</v>
      </c>
      <c r="P5" s="8">
        <f t="shared" si="2"/>
        <v>-37.173947106120004</v>
      </c>
      <c r="Q5" s="8">
        <f t="shared" si="3"/>
        <v>13.376052893879994</v>
      </c>
      <c r="R5" s="8">
        <v>-19.25</v>
      </c>
      <c r="S5" s="18">
        <f>174.3108-173.1998</f>
        <v>1.11099999999999</v>
      </c>
      <c r="T5" s="7">
        <v>1.488</v>
      </c>
      <c r="U5" s="8">
        <f t="shared" si="4"/>
        <v>0.28728854895973926</v>
      </c>
      <c r="V5" s="8">
        <f t="shared" si="5"/>
        <v>0.82281235975500333</v>
      </c>
      <c r="W5" s="6">
        <f t="shared" si="6"/>
        <v>4488.8835774959261</v>
      </c>
    </row>
    <row r="6" spans="1:23" ht="15.65" customHeight="1">
      <c r="A6" t="s">
        <v>111</v>
      </c>
      <c r="B6" s="2">
        <v>45486.57366898148</v>
      </c>
      <c r="C6">
        <v>-53.05</v>
      </c>
      <c r="D6">
        <v>0.09</v>
      </c>
      <c r="E6">
        <v>-52.87</v>
      </c>
      <c r="F6">
        <v>0.25</v>
      </c>
      <c r="G6">
        <v>-7.91</v>
      </c>
      <c r="H6">
        <v>0.02</v>
      </c>
      <c r="I6" s="5">
        <f>1901.4936-1785.9073</f>
        <v>115.58629999999994</v>
      </c>
      <c r="J6" s="19">
        <v>120</v>
      </c>
      <c r="K6">
        <v>2400</v>
      </c>
      <c r="L6" s="7">
        <f t="shared" si="0"/>
        <v>0.95405194407363403</v>
      </c>
      <c r="M6">
        <f t="shared" si="1"/>
        <v>-7.91</v>
      </c>
      <c r="N6" s="8">
        <f t="shared" si="7"/>
        <v>-8.6098765385230482</v>
      </c>
      <c r="O6">
        <v>1.989378972E-3</v>
      </c>
      <c r="P6" s="8">
        <f t="shared" si="2"/>
        <v>-35.31809248154844</v>
      </c>
      <c r="Q6" s="8">
        <f t="shared" si="3"/>
        <v>15.231907518451557</v>
      </c>
      <c r="R6" s="8">
        <v>-19.25</v>
      </c>
      <c r="S6" s="18">
        <f>141.3287-140.1758</f>
        <v>1.1528999999999883</v>
      </c>
      <c r="T6" s="7">
        <v>1.488</v>
      </c>
      <c r="U6" s="8">
        <f t="shared" si="4"/>
        <v>0.32759002426680039</v>
      </c>
      <c r="V6" s="8">
        <f t="shared" si="5"/>
        <v>0.9382383038766331</v>
      </c>
      <c r="W6" s="6">
        <f t="shared" si="6"/>
        <v>5118.5941291687559</v>
      </c>
    </row>
    <row r="7" spans="1:23">
      <c r="A7" t="s">
        <v>112</v>
      </c>
      <c r="B7" s="2">
        <v>45486.624120370368</v>
      </c>
      <c r="C7">
        <v>-49.39</v>
      </c>
      <c r="D7">
        <v>0.06</v>
      </c>
      <c r="E7">
        <v>-49.26</v>
      </c>
      <c r="F7">
        <v>0.18</v>
      </c>
      <c r="G7">
        <v>-8.07</v>
      </c>
      <c r="H7">
        <v>0.03</v>
      </c>
      <c r="I7" s="5">
        <f>1891.0933-1797.5914</f>
        <v>93.501899999999978</v>
      </c>
      <c r="J7" s="19">
        <v>120</v>
      </c>
      <c r="K7">
        <v>2400</v>
      </c>
      <c r="L7" s="7">
        <f t="shared" si="0"/>
        <v>0.96250177310873508</v>
      </c>
      <c r="M7">
        <f t="shared" si="1"/>
        <v>-8.07</v>
      </c>
      <c r="N7" s="8">
        <f t="shared" si="7"/>
        <v>-8.2384220541400062</v>
      </c>
      <c r="O7">
        <v>1.98905814E-3</v>
      </c>
      <c r="P7" s="8">
        <f t="shared" si="2"/>
        <v>-46.05853285334311</v>
      </c>
      <c r="Q7" s="8">
        <f t="shared" si="3"/>
        <v>4.4914671466568876</v>
      </c>
      <c r="R7" s="8">
        <v>-19.25</v>
      </c>
      <c r="S7" s="18">
        <v>1.0481</v>
      </c>
      <c r="T7" s="7">
        <v>1.7000000000000001E-2</v>
      </c>
      <c r="U7" s="8">
        <f t="shared" si="4"/>
        <v>9.4188617106726769E-2</v>
      </c>
      <c r="V7" s="8">
        <f t="shared" si="5"/>
        <v>0.26976208618223463</v>
      </c>
      <c r="W7" s="6">
        <f t="shared" si="6"/>
        <v>1471.6971422926056</v>
      </c>
    </row>
    <row r="8" spans="1:23" ht="16" customHeight="1">
      <c r="A8" t="s">
        <v>113</v>
      </c>
      <c r="B8" s="2">
        <v>45806.077870370369</v>
      </c>
      <c r="C8">
        <v>-36.590000000000003</v>
      </c>
      <c r="D8">
        <v>0.06</v>
      </c>
      <c r="E8">
        <v>-36.590000000000003</v>
      </c>
      <c r="G8">
        <v>-5.96</v>
      </c>
      <c r="H8">
        <v>0.01</v>
      </c>
      <c r="I8">
        <v>60.9</v>
      </c>
      <c r="J8">
        <v>136.6</v>
      </c>
      <c r="K8">
        <v>2758.9</v>
      </c>
      <c r="L8" s="7">
        <f t="shared" si="0"/>
        <v>0.9784027235974182</v>
      </c>
      <c r="M8">
        <f>G8</f>
        <v>-5.96</v>
      </c>
      <c r="N8" s="8">
        <f t="shared" si="7"/>
        <v>-7.5394162706574956</v>
      </c>
      <c r="O8">
        <v>1.9932490079999999E-3</v>
      </c>
      <c r="P8" s="8">
        <f t="shared" si="2"/>
        <v>22.58034482758621</v>
      </c>
      <c r="Q8" s="8">
        <f t="shared" si="3"/>
        <v>73.130344827586214</v>
      </c>
      <c r="R8" s="16">
        <v>20.77</v>
      </c>
      <c r="S8" s="15">
        <v>0.85770000000000002</v>
      </c>
      <c r="T8" s="7">
        <v>0.87119999999999997</v>
      </c>
      <c r="U8" s="8">
        <f t="shared" si="4"/>
        <v>1.8013110606846459</v>
      </c>
      <c r="V8" s="8">
        <f t="shared" si="5"/>
        <v>5.1590674597421184</v>
      </c>
      <c r="W8" s="6">
        <f t="shared" si="6"/>
        <v>28145.48532319759</v>
      </c>
    </row>
    <row r="9" spans="1:23" ht="16" customHeight="1">
      <c r="A9" t="s">
        <v>114</v>
      </c>
      <c r="B9" s="2">
        <v>45806.138136574067</v>
      </c>
      <c r="C9">
        <v>-33.520000000000003</v>
      </c>
      <c r="D9">
        <v>0.04</v>
      </c>
      <c r="E9">
        <v>-33.520000000000003</v>
      </c>
      <c r="G9">
        <v>-5.61</v>
      </c>
      <c r="H9">
        <v>0.02</v>
      </c>
      <c r="I9">
        <v>30.4</v>
      </c>
      <c r="J9">
        <v>112.5</v>
      </c>
      <c r="K9">
        <v>2734.6</v>
      </c>
      <c r="L9" s="7">
        <f t="shared" si="0"/>
        <v>0.98900542495479205</v>
      </c>
      <c r="M9">
        <f>G9</f>
        <v>-5.61</v>
      </c>
      <c r="N9" s="8">
        <f t="shared" si="7"/>
        <v>-7.0733215189873411</v>
      </c>
      <c r="O9">
        <v>1.9939508280000001E-3</v>
      </c>
      <c r="P9" s="8">
        <f t="shared" si="2"/>
        <v>82.544868421052556</v>
      </c>
      <c r="Q9" s="8">
        <f t="shared" si="3"/>
        <v>133.09486842105255</v>
      </c>
      <c r="R9" s="16">
        <v>20.77</v>
      </c>
      <c r="S9" s="15">
        <v>0.68589999999999995</v>
      </c>
      <c r="T9" s="7">
        <v>0.87119999999999997</v>
      </c>
      <c r="U9" s="8">
        <f t="shared" si="4"/>
        <v>2.7042017144961283</v>
      </c>
      <c r="V9" s="8">
        <f t="shared" si="5"/>
        <v>7.7450027229240677</v>
      </c>
      <c r="W9" s="6">
        <f t="shared" si="6"/>
        <v>42253.151789002004</v>
      </c>
    </row>
    <row r="10" spans="1:23" ht="16" customHeight="1">
      <c r="A10" t="s">
        <v>115</v>
      </c>
      <c r="B10" s="2">
        <v>45806.198425925933</v>
      </c>
      <c r="C10">
        <v>-30.97</v>
      </c>
      <c r="D10">
        <v>0.08</v>
      </c>
      <c r="E10">
        <v>-30.97</v>
      </c>
      <c r="G10">
        <v>-5.33</v>
      </c>
      <c r="H10">
        <v>0.02</v>
      </c>
      <c r="I10">
        <v>139.4</v>
      </c>
      <c r="J10">
        <v>129.19999999999999</v>
      </c>
      <c r="K10">
        <v>2648.2</v>
      </c>
      <c r="L10" s="7">
        <f t="shared" si="0"/>
        <v>0.94999282536949348</v>
      </c>
      <c r="M10">
        <f>G10</f>
        <v>-5.33</v>
      </c>
      <c r="N10" s="8">
        <f t="shared" si="7"/>
        <v>-8.7883153967570671</v>
      </c>
      <c r="O10">
        <v>1.9945122840000001E-3</v>
      </c>
      <c r="P10" s="8">
        <f t="shared" si="2"/>
        <v>18.606384505021516</v>
      </c>
      <c r="Q10" s="8">
        <f t="shared" si="3"/>
        <v>69.156384505021521</v>
      </c>
      <c r="R10" s="16">
        <v>20.77</v>
      </c>
      <c r="S10" s="15">
        <v>0.77080000000000004</v>
      </c>
      <c r="T10" s="7">
        <v>0.87119999999999997</v>
      </c>
      <c r="U10" s="8">
        <f t="shared" si="4"/>
        <v>1.6108218441121518</v>
      </c>
      <c r="V10" s="8">
        <f t="shared" si="5"/>
        <v>4.6134944379024603</v>
      </c>
      <c r="W10" s="6">
        <f t="shared" si="6"/>
        <v>25169.091314252371</v>
      </c>
    </row>
    <row r="11" spans="1:23" ht="16" customHeight="1">
      <c r="A11" t="s">
        <v>116</v>
      </c>
      <c r="B11" s="2">
        <v>45806.258738425917</v>
      </c>
      <c r="C11">
        <v>-91.47</v>
      </c>
      <c r="D11">
        <v>0.22</v>
      </c>
      <c r="E11">
        <v>-91.47</v>
      </c>
      <c r="G11">
        <v>-15.84</v>
      </c>
      <c r="H11">
        <v>0.08</v>
      </c>
      <c r="I11">
        <v>84.7</v>
      </c>
      <c r="J11">
        <v>96.8</v>
      </c>
      <c r="K11">
        <v>290.60000000000002</v>
      </c>
      <c r="L11" s="7">
        <f t="shared" si="0"/>
        <v>0.77431388222755138</v>
      </c>
      <c r="M11">
        <f>G11</f>
        <v>-15.84</v>
      </c>
      <c r="N11" s="8">
        <f t="shared" si="7"/>
        <v>-16.51116173727684</v>
      </c>
      <c r="O11">
        <v>1.9734376319999998E-3</v>
      </c>
      <c r="P11" s="8">
        <f t="shared" si="2"/>
        <v>-47.576127508854782</v>
      </c>
      <c r="Q11" s="8">
        <f t="shared" si="3"/>
        <v>2.9738724911452152</v>
      </c>
      <c r="R11" s="16">
        <v>20.77</v>
      </c>
      <c r="S11" s="15">
        <v>0.28899999999999998</v>
      </c>
      <c r="T11" s="7">
        <v>0.58079999999999998</v>
      </c>
      <c r="U11" s="8">
        <f t="shared" si="4"/>
        <v>4.9801923985301359E-2</v>
      </c>
      <c r="V11" s="8">
        <f t="shared" si="5"/>
        <v>0.14263582291415219</v>
      </c>
      <c r="W11" s="6">
        <f t="shared" si="6"/>
        <v>778.15506227033381</v>
      </c>
    </row>
    <row r="12" spans="1:23" ht="16" customHeight="1">
      <c r="A12" t="s">
        <v>117</v>
      </c>
      <c r="B12" s="2">
        <v>45806.319074074083</v>
      </c>
      <c r="C12">
        <v>-30.28</v>
      </c>
      <c r="D12">
        <v>0.22</v>
      </c>
      <c r="E12">
        <v>-30.28</v>
      </c>
      <c r="G12">
        <v>-5.46</v>
      </c>
      <c r="H12">
        <v>0.04</v>
      </c>
      <c r="I12">
        <v>55.6</v>
      </c>
      <c r="J12">
        <v>92.1</v>
      </c>
      <c r="K12">
        <v>315.60000000000002</v>
      </c>
      <c r="L12" s="7">
        <f t="shared" si="0"/>
        <v>0.85021551724137923</v>
      </c>
      <c r="M12">
        <f>G12</f>
        <v>-5.46</v>
      </c>
      <c r="N12" s="8">
        <f t="shared" si="7"/>
        <v>-13.174525862068968</v>
      </c>
      <c r="O12">
        <v>1.994251608E-3</v>
      </c>
      <c r="P12" s="8">
        <f t="shared" si="2"/>
        <v>0.95417266187050187</v>
      </c>
      <c r="Q12" s="8">
        <f t="shared" si="3"/>
        <v>51.504172661870498</v>
      </c>
      <c r="R12" s="16">
        <v>20.77</v>
      </c>
      <c r="S12" s="15">
        <v>0.84740000000000004</v>
      </c>
      <c r="T12" s="7">
        <v>0.87119999999999997</v>
      </c>
      <c r="U12" s="8">
        <f t="shared" si="4"/>
        <v>0.85348195798090365</v>
      </c>
      <c r="V12" s="8">
        <f t="shared" si="5"/>
        <v>2.4444256702796818</v>
      </c>
      <c r="W12" s="6">
        <f t="shared" si="6"/>
        <v>13335.655593451618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65FE-0F24-425B-9D90-FF216D1D02A7}">
  <dimension ref="A1:C14"/>
  <sheetViews>
    <sheetView workbookViewId="0">
      <selection activeCell="B3" sqref="B3"/>
    </sheetView>
  </sheetViews>
  <sheetFormatPr defaultRowHeight="15.5"/>
  <sheetData>
    <row r="1" spans="1:3">
      <c r="A1" t="s">
        <v>118</v>
      </c>
      <c r="B1" t="s">
        <v>119</v>
      </c>
    </row>
    <row r="2" spans="1:3">
      <c r="A2" t="s">
        <v>120</v>
      </c>
      <c r="B2" s="8">
        <v>80.75825044953406</v>
      </c>
      <c r="C2" t="s">
        <v>121</v>
      </c>
    </row>
    <row r="3" spans="1:3">
      <c r="A3" t="s">
        <v>122</v>
      </c>
      <c r="B3" s="8">
        <v>107.3</v>
      </c>
    </row>
    <row r="4" spans="1:3">
      <c r="A4" t="s">
        <v>123</v>
      </c>
      <c r="B4" s="8">
        <v>138.06417431297956</v>
      </c>
    </row>
    <row r="5" spans="1:3">
      <c r="A5" t="s">
        <v>124</v>
      </c>
      <c r="B5" s="8">
        <v>104.53888680730709</v>
      </c>
    </row>
    <row r="6" spans="1:3">
      <c r="A6" t="s">
        <v>125</v>
      </c>
      <c r="B6" s="8">
        <v>137.29442981314241</v>
      </c>
    </row>
    <row r="7" spans="1:3">
      <c r="A7" t="s">
        <v>126</v>
      </c>
      <c r="B7" s="8">
        <v>35.193324413715004</v>
      </c>
      <c r="C7" t="s">
        <v>121</v>
      </c>
    </row>
    <row r="8" spans="1:3">
      <c r="A8" t="s">
        <v>127</v>
      </c>
      <c r="B8" s="8">
        <v>247.82133074112673</v>
      </c>
    </row>
    <row r="9" spans="1:3">
      <c r="A9" t="s">
        <v>128</v>
      </c>
      <c r="B9" s="8">
        <v>1327.8216678051849</v>
      </c>
    </row>
    <row r="10" spans="1:3">
      <c r="A10" t="s">
        <v>129</v>
      </c>
      <c r="B10" s="8">
        <v>159.34723391563739</v>
      </c>
    </row>
    <row r="11" spans="1:3">
      <c r="A11" t="s">
        <v>130</v>
      </c>
      <c r="B11" s="8">
        <v>0.48477780918642743</v>
      </c>
    </row>
    <row r="12" spans="1:3">
      <c r="A12" t="s">
        <v>131</v>
      </c>
      <c r="B12" s="8">
        <v>19.055128566267655</v>
      </c>
    </row>
    <row r="13" spans="1:3">
      <c r="A13" t="s">
        <v>132</v>
      </c>
      <c r="B13" s="8">
        <v>654.79271398210938</v>
      </c>
    </row>
    <row r="14" spans="1:3">
      <c r="A14" t="s">
        <v>133</v>
      </c>
      <c r="B14" s="8">
        <v>266.23048178395607</v>
      </c>
    </row>
  </sheetData>
  <sortState xmlns:xlrd2="http://schemas.microsoft.com/office/spreadsheetml/2017/richdata2" ref="A2:B14">
    <sortCondition ref="A2:A14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5C5F-EFAD-4834-8111-9752678783E6}">
  <dimension ref="A1:F12"/>
  <sheetViews>
    <sheetView workbookViewId="0">
      <selection activeCell="A7" sqref="A7"/>
    </sheetView>
  </sheetViews>
  <sheetFormatPr defaultRowHeight="15.5"/>
  <sheetData>
    <row r="1" spans="1:6">
      <c r="A1" t="s">
        <v>134</v>
      </c>
      <c r="E1" t="s">
        <v>135</v>
      </c>
    </row>
    <row r="2" spans="1:6">
      <c r="A2" s="1" t="str">
        <f>Data!B1</f>
        <v>Sample ID</v>
      </c>
      <c r="B2" t="str">
        <f>Data!N1</f>
        <v>d18O Meas</v>
      </c>
      <c r="C2" t="str">
        <f>Data!O1</f>
        <v>d18O Nominal</v>
      </c>
      <c r="E2" t="str">
        <f>Data!N1</f>
        <v>d18O Meas</v>
      </c>
      <c r="F2" t="str">
        <f>Data!O1</f>
        <v>d18O Nominal</v>
      </c>
    </row>
    <row r="3" spans="1:6">
      <c r="A3" t="str">
        <f>Data!B50</f>
        <v>Mix 1:1</v>
      </c>
      <c r="B3">
        <f>Data!N50</f>
        <v>-28.2</v>
      </c>
      <c r="C3">
        <f>Data!O50</f>
        <v>-21.184719999999999</v>
      </c>
      <c r="E3">
        <f>B3</f>
        <v>-28.2</v>
      </c>
      <c r="F3">
        <f>C11</f>
        <v>-28.57</v>
      </c>
    </row>
    <row r="4" spans="1:6">
      <c r="A4" t="str">
        <f>Data!B51</f>
        <v>Mix 1:1</v>
      </c>
      <c r="B4">
        <f>Data!N51</f>
        <v>-28.2</v>
      </c>
      <c r="C4">
        <f>Data!O51</f>
        <v>-21.184719999999999</v>
      </c>
      <c r="E4">
        <f t="shared" ref="E4:E12" si="0">B4</f>
        <v>-28.2</v>
      </c>
      <c r="F4">
        <f>C12</f>
        <v>-28.57</v>
      </c>
    </row>
    <row r="5" spans="1:6">
      <c r="A5" t="str">
        <f>Data!B52</f>
        <v>Mix 1:2</v>
      </c>
      <c r="B5">
        <f>Data!N52</f>
        <v>-20.84</v>
      </c>
      <c r="C5">
        <f>Data!O52</f>
        <v>-17.62378486055777</v>
      </c>
      <c r="E5">
        <f t="shared" si="0"/>
        <v>-20.84</v>
      </c>
      <c r="F5">
        <f>C3</f>
        <v>-21.184719999999999</v>
      </c>
    </row>
    <row r="6" spans="1:6">
      <c r="A6" t="str">
        <f>Data!B53</f>
        <v>Mix 1:2</v>
      </c>
      <c r="B6">
        <f>Data!N53</f>
        <v>-20.84</v>
      </c>
      <c r="C6">
        <f>Data!O53</f>
        <v>-17.62378486055777</v>
      </c>
      <c r="E6">
        <f t="shared" si="0"/>
        <v>-20.84</v>
      </c>
      <c r="F6">
        <f>C4</f>
        <v>-21.184719999999999</v>
      </c>
    </row>
    <row r="7" spans="1:6">
      <c r="A7" t="str">
        <f>Data!B54</f>
        <v>Mix 1:3_2</v>
      </c>
      <c r="B7">
        <f>Data!N54</f>
        <v>-17.3</v>
      </c>
      <c r="C7">
        <f>Data!O54</f>
        <v>-7.6621951219512203</v>
      </c>
      <c r="E7">
        <f t="shared" si="0"/>
        <v>-17.3</v>
      </c>
      <c r="F7">
        <f>C$5</f>
        <v>-17.62378486055777</v>
      </c>
    </row>
    <row r="8" spans="1:6">
      <c r="A8" t="str">
        <f>Data!B55</f>
        <v>Mix 1:3_2</v>
      </c>
      <c r="B8">
        <f>Data!N55</f>
        <v>-17.3</v>
      </c>
      <c r="C8">
        <f>Data!O55</f>
        <v>-7.6621951219512203</v>
      </c>
      <c r="E8">
        <f t="shared" si="0"/>
        <v>-17.3</v>
      </c>
      <c r="F8">
        <f t="shared" ref="F8:F10" si="1">C$5</f>
        <v>-17.62378486055777</v>
      </c>
    </row>
    <row r="9" spans="1:6">
      <c r="A9" t="str">
        <f>Data!B56</f>
        <v>Mix 1:3</v>
      </c>
      <c r="B9">
        <f>Data!N56</f>
        <v>-17.739999999999998</v>
      </c>
      <c r="C9">
        <f>Data!O56</f>
        <v>-7.6621951219512203</v>
      </c>
      <c r="E9">
        <f t="shared" si="0"/>
        <v>-17.739999999999998</v>
      </c>
      <c r="F9">
        <f t="shared" si="1"/>
        <v>-17.62378486055777</v>
      </c>
    </row>
    <row r="10" spans="1:6">
      <c r="A10" t="str">
        <f>Data!B57</f>
        <v>Mix 1:3</v>
      </c>
      <c r="B10">
        <f>Data!N57</f>
        <v>-17.739999999999998</v>
      </c>
      <c r="C10">
        <f>Data!O57</f>
        <v>-7.6621951219512203</v>
      </c>
      <c r="E10">
        <f t="shared" si="0"/>
        <v>-17.739999999999998</v>
      </c>
      <c r="F10">
        <f t="shared" si="1"/>
        <v>-17.62378486055777</v>
      </c>
    </row>
    <row r="11" spans="1:6">
      <c r="A11" t="str">
        <f>Data!B58</f>
        <v>Mix 1:4</v>
      </c>
      <c r="B11">
        <f>Data!N58</f>
        <v>-15.29</v>
      </c>
      <c r="C11">
        <f>Data!O58</f>
        <v>-28.57</v>
      </c>
      <c r="E11">
        <f t="shared" si="0"/>
        <v>-15.29</v>
      </c>
      <c r="F11" t="s">
        <v>136</v>
      </c>
    </row>
    <row r="12" spans="1:6">
      <c r="A12" t="str">
        <f>Data!B59</f>
        <v>Mix 1:4</v>
      </c>
      <c r="B12">
        <f>Data!N59</f>
        <v>-15.29</v>
      </c>
      <c r="C12">
        <f>Data!O59</f>
        <v>-28.57</v>
      </c>
      <c r="E12">
        <f t="shared" si="0"/>
        <v>-15.29</v>
      </c>
      <c r="F12" t="s">
        <v>136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c051356ea1710f3fb5d80eaeb75cb6ec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1b8103a8cf90e9c87e2e092ffa6eae69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94F5D-7BFC-4C7E-A5EB-2BBEAE8E35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1538-A01D-44FC-B38F-FE82A1F32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9d5b-bad1-43ae-a310-979dd75c40ab"/>
    <ds:schemaRef ds:uri="ad78e214-34d5-4fdd-b75d-5961e8c71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SolbTable</vt:lpstr>
      <vt:lpstr>Ternary solutions</vt:lpstr>
      <vt:lpstr>Mix data</vt:lpstr>
      <vt:lpstr>ENT</vt:lpstr>
      <vt:lpstr>USGS49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John Ayers</cp:lastModifiedBy>
  <cp:revision/>
  <dcterms:created xsi:type="dcterms:W3CDTF">2024-07-25T16:08:22Z</dcterms:created>
  <dcterms:modified xsi:type="dcterms:W3CDTF">2026-10-02T15:22:14Z</dcterms:modified>
  <cp:category/>
  <cp:contentStatus/>
</cp:coreProperties>
</file>