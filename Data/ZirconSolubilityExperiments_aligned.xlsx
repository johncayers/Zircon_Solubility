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55fd3f8ffa58db1a/Documents - Zircon Recrystallization/Manuscripts/Zircon_Solubility/Data/"/>
    </mc:Choice>
  </mc:AlternateContent>
  <xr:revisionPtr revIDLastSave="74" documentId="11_48EF0AF2C24267AD92AC8CE0ADAF8EB44DB63448" xr6:coauthVersionLast="47" xr6:coauthVersionMax="47" xr10:uidLastSave="{BE2FF6BB-89DD-4AE4-A3C7-950F9BD95BCE}"/>
  <bookViews>
    <workbookView xWindow="-120" yWindow="-120" windowWidth="29040" windowHeight="15720" tabRatio="500" activeTab="1" xr2:uid="{00000000-000D-0000-FFFF-FFFF00000000}"/>
  </bookViews>
  <sheets>
    <sheet name="Data" sheetId="1" r:id="rId1"/>
    <sheet name="Data (aligned)"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6" i="2" l="1" a="1"/>
  <c r="D46" i="2" a="1"/>
  <c r="E46" i="2" a="1"/>
  <c r="F46" i="2" a="1"/>
  <c r="B46" i="2" a="1"/>
  <c r="C31" i="2"/>
  <c r="C45" i="2"/>
  <c r="D22" i="2"/>
  <c r="F22" i="2"/>
  <c r="G22" i="2"/>
  <c r="H22" i="2"/>
  <c r="I22" i="2"/>
  <c r="J22" i="2"/>
  <c r="E19" i="2"/>
  <c r="C19" i="2"/>
  <c r="B22" i="2"/>
  <c r="J41" i="2"/>
  <c r="I41" i="2"/>
  <c r="H41" i="2"/>
  <c r="G41" i="2"/>
  <c r="F41" i="2"/>
  <c r="E41" i="2"/>
  <c r="D41" i="2"/>
  <c r="C41" i="2"/>
  <c r="B41" i="2"/>
  <c r="J38" i="2"/>
  <c r="I38" i="2"/>
  <c r="H38" i="2"/>
  <c r="G38" i="2"/>
  <c r="F38" i="2"/>
  <c r="F45" i="2" s="1"/>
  <c r="E38" i="2"/>
  <c r="E45" i="2" s="1"/>
  <c r="D38" i="2"/>
  <c r="D45" i="2" s="1"/>
  <c r="C38" i="2"/>
  <c r="B38" i="2"/>
  <c r="J35" i="2"/>
  <c r="I35" i="2"/>
  <c r="H35" i="2"/>
  <c r="G35" i="2"/>
  <c r="F35" i="2"/>
  <c r="E35" i="2"/>
  <c r="D35" i="2"/>
  <c r="C35" i="2"/>
  <c r="B35" i="2"/>
  <c r="J31" i="2"/>
  <c r="I31" i="2"/>
  <c r="H31" i="2"/>
  <c r="G31" i="2"/>
  <c r="F31" i="2"/>
  <c r="E31" i="2"/>
  <c r="D31" i="2"/>
  <c r="B31" i="2"/>
  <c r="J30" i="2"/>
  <c r="I30" i="2"/>
  <c r="H30" i="2"/>
  <c r="G30" i="2"/>
  <c r="F30" i="2"/>
  <c r="E30" i="2"/>
  <c r="D30" i="2"/>
  <c r="C30" i="2"/>
  <c r="B30" i="2"/>
  <c r="J20" i="2"/>
  <c r="I20" i="2"/>
  <c r="H20" i="2"/>
  <c r="G20" i="2"/>
  <c r="F20" i="2"/>
  <c r="F23" i="2" s="1"/>
  <c r="D20" i="2"/>
  <c r="D23" i="2" s="1"/>
  <c r="B20" i="2"/>
  <c r="B23" i="2" s="1"/>
  <c r="J18" i="2"/>
  <c r="I18" i="2"/>
  <c r="H18" i="2"/>
  <c r="G18" i="2"/>
  <c r="J15" i="2"/>
  <c r="I15" i="2"/>
  <c r="H15" i="2"/>
  <c r="G15" i="2"/>
  <c r="F15" i="2"/>
  <c r="E15" i="2"/>
  <c r="D15" i="2"/>
  <c r="F13" i="2"/>
  <c r="E13" i="2"/>
  <c r="D13" i="2"/>
  <c r="C13" i="2"/>
  <c r="B13" i="2"/>
  <c r="B15" i="2" s="1"/>
  <c r="J5" i="2"/>
  <c r="I5" i="2"/>
  <c r="H5" i="2"/>
  <c r="G5" i="2"/>
  <c r="F5" i="2"/>
  <c r="E5" i="2"/>
  <c r="D5" i="2"/>
  <c r="C5" i="2"/>
  <c r="B5" i="2"/>
  <c r="L41" i="1"/>
  <c r="K41" i="1"/>
  <c r="J41" i="1"/>
  <c r="I41" i="1"/>
  <c r="F39" i="1"/>
  <c r="E39" i="1"/>
  <c r="D39" i="1"/>
  <c r="C39" i="1"/>
  <c r="B39" i="1"/>
  <c r="L38" i="1"/>
  <c r="K38" i="1"/>
  <c r="J38" i="1"/>
  <c r="I38" i="1"/>
  <c r="F36" i="1"/>
  <c r="F43" i="1" s="1"/>
  <c r="E36" i="1"/>
  <c r="E43" i="1" s="1"/>
  <c r="D36" i="1"/>
  <c r="D43" i="1" s="1"/>
  <c r="C36" i="1"/>
  <c r="B36" i="1"/>
  <c r="L35" i="1"/>
  <c r="K35" i="1"/>
  <c r="J35" i="1"/>
  <c r="I35" i="1"/>
  <c r="F33" i="1"/>
  <c r="E33" i="1"/>
  <c r="D33" i="1"/>
  <c r="C33" i="1"/>
  <c r="B33" i="1"/>
  <c r="L31" i="1"/>
  <c r="K31" i="1"/>
  <c r="J31" i="1"/>
  <c r="I31" i="1"/>
  <c r="L30" i="1"/>
  <c r="K30" i="1"/>
  <c r="J30" i="1"/>
  <c r="I30" i="1"/>
  <c r="F29" i="1"/>
  <c r="E29" i="1"/>
  <c r="D29" i="1"/>
  <c r="B29" i="1"/>
  <c r="F28" i="1"/>
  <c r="E28" i="1"/>
  <c r="D28" i="1"/>
  <c r="C28" i="1"/>
  <c r="B28" i="1"/>
  <c r="L22" i="1"/>
  <c r="K22" i="1"/>
  <c r="J22" i="1"/>
  <c r="I22" i="1"/>
  <c r="L20" i="1"/>
  <c r="L24" i="1" s="1"/>
  <c r="K20" i="1"/>
  <c r="K24" i="1" s="1"/>
  <c r="J20" i="1"/>
  <c r="J24" i="1" s="1"/>
  <c r="I20" i="1"/>
  <c r="I24" i="1" s="1"/>
  <c r="F20" i="1"/>
  <c r="E20" i="1"/>
  <c r="E22" i="1" s="1"/>
  <c r="D20" i="1"/>
  <c r="C20" i="1"/>
  <c r="C22" i="1" s="1"/>
  <c r="B20" i="1"/>
  <c r="L18" i="1"/>
  <c r="L23" i="1" s="1"/>
  <c r="L36" i="1" s="1"/>
  <c r="K18" i="1"/>
  <c r="K23" i="1" s="1"/>
  <c r="K36" i="1" s="1"/>
  <c r="J18" i="1"/>
  <c r="J23" i="1" s="1"/>
  <c r="J36" i="1" s="1"/>
  <c r="I18" i="1"/>
  <c r="I23" i="1" s="1"/>
  <c r="I36" i="1" s="1"/>
  <c r="F18" i="1"/>
  <c r="D18" i="1"/>
  <c r="B18" i="1"/>
  <c r="L15" i="1"/>
  <c r="K15" i="1"/>
  <c r="J15" i="1"/>
  <c r="I15" i="1"/>
  <c r="F15" i="1"/>
  <c r="E15" i="1"/>
  <c r="D15" i="1"/>
  <c r="F13" i="1"/>
  <c r="E13" i="1"/>
  <c r="E21" i="1" s="1"/>
  <c r="E34" i="1" s="1"/>
  <c r="D13" i="1"/>
  <c r="C13" i="1"/>
  <c r="B13" i="1"/>
  <c r="B15" i="1" s="1"/>
  <c r="L5" i="1"/>
  <c r="K5" i="1"/>
  <c r="J5" i="1"/>
  <c r="I5" i="1"/>
  <c r="F5" i="1"/>
  <c r="E5" i="1"/>
  <c r="D5" i="1"/>
  <c r="C5" i="1"/>
  <c r="B5" i="1"/>
  <c r="I46" i="2" l="1" a="1"/>
  <c r="D47" i="2"/>
  <c r="H46" i="2" a="1"/>
  <c r="F47" i="2"/>
  <c r="E20" i="2"/>
  <c r="E22" i="2"/>
  <c r="C22" i="2"/>
  <c r="C20" i="2"/>
  <c r="J46" i="2" a="1"/>
  <c r="G46" i="2" a="1"/>
  <c r="J24" i="2"/>
  <c r="J23" i="2"/>
  <c r="I24" i="2"/>
  <c r="I23" i="2"/>
  <c r="H24" i="2"/>
  <c r="H23" i="2"/>
  <c r="G23" i="2"/>
  <c r="G24" i="2"/>
  <c r="F36" i="2"/>
  <c r="F44" i="2"/>
  <c r="D36" i="2"/>
  <c r="D44" i="2"/>
  <c r="B36" i="2"/>
  <c r="B44" i="2"/>
  <c r="F42" i="2"/>
  <c r="D42" i="2"/>
  <c r="B42" i="2"/>
  <c r="B47" i="2"/>
  <c r="C23" i="2"/>
  <c r="C24" i="2"/>
  <c r="B45" i="2"/>
  <c r="F24" i="2"/>
  <c r="D24" i="2"/>
  <c r="B24" i="2"/>
  <c r="C15" i="2"/>
  <c r="L45" i="1"/>
  <c r="L42" i="1"/>
  <c r="K45" i="1"/>
  <c r="K42" i="1"/>
  <c r="J45" i="1"/>
  <c r="J42" i="1"/>
  <c r="I42" i="1"/>
  <c r="I45" i="1"/>
  <c r="F44" i="1"/>
  <c r="E44" i="1"/>
  <c r="E40" i="1"/>
  <c r="D44" i="1"/>
  <c r="C44" i="1"/>
  <c r="B44" i="1"/>
  <c r="B43" i="1"/>
  <c r="F21" i="1"/>
  <c r="F40" i="1" s="1"/>
  <c r="F22" i="1"/>
  <c r="D22" i="1"/>
  <c r="D21" i="1"/>
  <c r="D40" i="1" s="1"/>
  <c r="B21" i="1"/>
  <c r="B22" i="1"/>
  <c r="C15" i="1"/>
  <c r="C21" i="1"/>
  <c r="C43" i="1" s="1"/>
  <c r="E24" i="2" l="1"/>
  <c r="E23" i="2"/>
  <c r="I42" i="2"/>
  <c r="I36" i="2"/>
  <c r="H42" i="2"/>
  <c r="H36" i="2"/>
  <c r="I47" i="2"/>
  <c r="H47" i="2"/>
  <c r="J47" i="2"/>
  <c r="G47" i="2"/>
  <c r="C47" i="2"/>
  <c r="J36" i="2"/>
  <c r="J42" i="2"/>
  <c r="G36" i="2"/>
  <c r="G42" i="2"/>
  <c r="C44" i="2"/>
  <c r="C36" i="2"/>
  <c r="C42" i="2"/>
  <c r="J48" i="2"/>
  <c r="J49" i="2" s="1"/>
  <c r="I48" i="2"/>
  <c r="I49" i="2" s="1"/>
  <c r="H48" i="2"/>
  <c r="H49" i="2" s="1"/>
  <c r="G48" i="2"/>
  <c r="G49" i="2" s="1"/>
  <c r="F48" i="2"/>
  <c r="F49" i="2" s="1"/>
  <c r="E48" i="2"/>
  <c r="E49" i="2" s="1"/>
  <c r="D48" i="2"/>
  <c r="D49" i="2" s="1"/>
  <c r="C48" i="2"/>
  <c r="C49" i="2" s="1"/>
  <c r="B48" i="2"/>
  <c r="B49" i="2" s="1"/>
  <c r="L46" i="1"/>
  <c r="L47" i="1"/>
  <c r="L48" i="1" s="1"/>
  <c r="K47" i="1"/>
  <c r="K48" i="1" s="1"/>
  <c r="K46" i="1"/>
  <c r="J47" i="1"/>
  <c r="J48" i="1" s="1"/>
  <c r="J46" i="1"/>
  <c r="I46" i="1"/>
  <c r="I47" i="1"/>
  <c r="I48" i="1" s="1"/>
  <c r="F45" i="1"/>
  <c r="F46" i="1"/>
  <c r="F47" i="1" s="1"/>
  <c r="E46" i="1"/>
  <c r="E47" i="1" s="1"/>
  <c r="E45" i="1"/>
  <c r="D46" i="1"/>
  <c r="D47" i="1" s="1"/>
  <c r="D45" i="1"/>
  <c r="C45" i="1"/>
  <c r="C46" i="1"/>
  <c r="C47" i="1" s="1"/>
  <c r="B45" i="1"/>
  <c r="B46" i="1"/>
  <c r="B47" i="1" s="1"/>
  <c r="F34" i="1"/>
  <c r="F42" i="1"/>
  <c r="D42" i="1"/>
  <c r="D34" i="1"/>
  <c r="B40" i="1"/>
  <c r="B42" i="1"/>
  <c r="B34" i="1"/>
  <c r="C40" i="1"/>
  <c r="C34" i="1"/>
  <c r="C42" i="1"/>
  <c r="E47" i="2" l="1"/>
  <c r="E42" i="2"/>
  <c r="E3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13" authorId="0" shapeId="0" xr:uid="{00000000-0006-0000-0000-000001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Pan: this was the experiment where the outer capsule failed to seal several times. Because of the repeated attempts, the weight of the inner capsule increased. If we instead calculate the SiO₂ weight as:
SiO₂ weight = inner cap + SiO₂ − inner cap − cube,
the resulting SiO₂ weight is 0.5593 mg, which seems more reasonable than 0.0289 mg.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<sst xmlns="http://schemas.openxmlformats.org/spreadsheetml/2006/main" count="189" uniqueCount="68">
  <si>
    <t>Expt ID</t>
  </si>
  <si>
    <t>Zir023</t>
  </si>
  <si>
    <t>Zir024</t>
  </si>
  <si>
    <t>Zir025</t>
  </si>
  <si>
    <t>Zir026</t>
  </si>
  <si>
    <t>Zir027</t>
  </si>
  <si>
    <t>Zir028</t>
  </si>
  <si>
    <t>Zir029</t>
  </si>
  <si>
    <t>Zir030</t>
  </si>
  <si>
    <t>Zir031</t>
  </si>
  <si>
    <t>Fluid</t>
  </si>
  <si>
    <t>USGS49 + 1m NaF</t>
  </si>
  <si>
    <t>USGS49</t>
  </si>
  <si>
    <t>USGS49 + 5m NaF</t>
  </si>
  <si>
    <t>Pressure (GPa)</t>
  </si>
  <si>
    <t>Temperature (deg. C)</t>
  </si>
  <si>
    <t>Duration (h)</t>
  </si>
  <si>
    <t>Date started</t>
  </si>
  <si>
    <t>All weights in milligrams</t>
  </si>
  <si>
    <t>Weight cube 1</t>
  </si>
  <si>
    <t>Weight cube 2</t>
  </si>
  <si>
    <t>Weight inner capsule (empty)</t>
  </si>
  <si>
    <t>+ SiO2 powder</t>
  </si>
  <si>
    <t>Calc weight SiO2 powder</t>
  </si>
  <si>
    <t>+ cubes = inner capsule weight</t>
  </si>
  <si>
    <t>Calc weight cubes</t>
  </si>
  <si>
    <t>Wt inner + outer capsules</t>
  </si>
  <si>
    <t>+ NaF</t>
  </si>
  <si>
    <t>Calc weight NaF</t>
  </si>
  <si>
    <t>+ USGS49 H2O'</t>
  </si>
  <si>
    <t>+NaF powder</t>
  </si>
  <si>
    <t>Calc weight H2O</t>
  </si>
  <si>
    <t>Calc weight NaF powder</t>
  </si>
  <si>
    <t>Calc weight fluid</t>
  </si>
  <si>
    <t>Calc molality</t>
  </si>
  <si>
    <t>Calc weight H2O fluid</t>
  </si>
  <si>
    <t>Capsule after welding</t>
  </si>
  <si>
    <t>Capsule after 24 h at 100 deg. C</t>
  </si>
  <si>
    <t>After experiment</t>
  </si>
  <si>
    <t>Capsule exploded</t>
  </si>
  <si>
    <t>Wt capsule</t>
  </si>
  <si>
    <t>Calc weight loss capsule</t>
  </si>
  <si>
    <t>Weight vial</t>
  </si>
  <si>
    <t>Weight vial + fluid</t>
  </si>
  <si>
    <t>Weight vial + fluid+ENT</t>
  </si>
  <si>
    <t>Calc weight RP fluid</t>
  </si>
  <si>
    <t>Calc weight loss fluid</t>
  </si>
  <si>
    <t>Weight inner capsule</t>
  </si>
  <si>
    <t>Calc weight loss inner capsule</t>
  </si>
  <si>
    <t>Calc weight loss cubes</t>
  </si>
  <si>
    <t>Calc solubility from wt. loss cubes (wt. %)</t>
  </si>
  <si>
    <t>Weight quenched solutes</t>
  </si>
  <si>
    <t>NA</t>
  </si>
  <si>
    <t>Calc solubility from wt. QS (wt. %)</t>
  </si>
  <si>
    <t>Calc. solb. From wt loss i.c.</t>
  </si>
  <si>
    <t>Avg. wt. loss</t>
  </si>
  <si>
    <t>Avg. solb. (wt.%)</t>
  </si>
  <si>
    <t>Calc. solb. From Avg. wt. loss (molality)</t>
  </si>
  <si>
    <t>Solb from Avg. wt. loss (mmolal)</t>
  </si>
  <si>
    <t>Solb from Si ID (mmolal)</t>
  </si>
  <si>
    <t>Solb from Si ID (sd)</t>
  </si>
  <si>
    <t>NaOH</t>
  </si>
  <si>
    <t>USGS-49</t>
  </si>
  <si>
    <t>+ SiO2 powder (to inner capsule)</t>
  </si>
  <si>
    <t>Calc weight SiO2 powder (inner capsule)</t>
  </si>
  <si>
    <t>+ SiO2 powder (to outer capsule)</t>
  </si>
  <si>
    <t>Calc weight SiO2 powder (outer capsule)</t>
  </si>
  <si>
    <t>+ NaF powder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</si>
</sst>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5" x14ac:knownFonts="1">
    <font>
      <sz val="11"/>
      <color theme="1"/>
      <name val="Calibri"/>
      <family val="2"/>
      <charset val="1"/>
    </font>
    <font>
      <b/>
      <sz val="12"/>
      <color theme="1"/>
      <name val="Calibri"/>
      <family val="2"/>
      <charset val="1"/>
    </font>
    <font>
      <sz val="11"/>
      <color rgb="FF242424"/>
      <name val="DengXian"/>
      <charset val="1"/>
    </font>
    <font>
      <sz val="10"/>
      <name val="Arial"/>
      <family val="2"/>
    </font>
    <font>
      <sz val="11"/>
      <color theme="1"/>
      <name val="Calibri"/>
      <family val="2"/>
      <charset val="1"/>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2">
    <xf numFmtId="0" fontId="0" fillId="0" borderId="0"/>
    <xf numFmtId="9" fontId="4" fillId="0" borderId="0"/>
  </cellStyleXfs>
  <cellXfs count="16">
    <xf numFmtId="0" fontId="0" fillId="0" borderId="0" xfId="0"/>
    <xf numFmtId="14" fontId="0" fillId="0" borderId="0" xfId="0" applyNumberFormat="1"/>
    <xf numFmtId="0" fontId="1" fillId="0" borderId="0" xfId="0" applyFont="1"/>
    <xf numFmtId="0" fontId="0" fillId="2" borderId="0" xfId="0" applyFill="1"/>
    <xf numFmtId="2" fontId="0" fillId="2" borderId="0" xfId="0" applyNumberFormat="1" applyFill="1"/>
    <xf numFmtId="0" fontId="2" fillId="0" borderId="0" xfId="0" applyFont="1"/>
    <xf numFmtId="10" fontId="4" fillId="2" borderId="0" xfId="1" applyNumberFormat="1" applyFill="1"/>
    <xf numFmtId="164" fontId="4" fillId="2" borderId="0" xfId="1" applyNumberFormat="1" applyFill="1"/>
    <xf numFmtId="10" fontId="4" fillId="0" borderId="0" xfId="1" applyNumberFormat="1"/>
    <xf numFmtId="9" fontId="4" fillId="2" borderId="0" xfId="1" applyFill="1"/>
    <xf numFmtId="10" fontId="0" fillId="0" borderId="0" xfId="0" applyNumberFormat="1"/>
    <xf numFmtId="165" fontId="0" fillId="0" borderId="0" xfId="0" applyNumberFormat="1"/>
    <xf numFmtId="164" fontId="0" fillId="0" borderId="0" xfId="0" applyNumberFormat="1"/>
    <xf numFmtId="2" fontId="0" fillId="0" borderId="0" xfId="0" applyNumberFormat="1"/>
    <xf numFmtId="11" fontId="4" fillId="0" borderId="0" xfId="1" applyNumberFormat="1"/>
    <xf numFmtId="11" fontId="0" fillId="0" borderId="0" xfId="0" applyNumberFormat="1"/>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4242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11</xdr:col>
      <xdr:colOff>71436</xdr:colOff>
      <xdr:row>19</xdr:row>
      <xdr:rowOff>138112</xdr:rowOff>
    </xdr:from>
    <xdr:to>
      <xdr:col>17</xdr:col>
      <xdr:colOff>190499</xdr:colOff>
      <xdr:row>30</xdr:row>
      <xdr:rowOff>47625</xdr:rowOff>
    </xdr:to>
    <xdr:sp macro="" textlink="">
      <xdr:nvSpPr>
        <xdr:cNvPr id="2" name="TextBox 1">
          <a:extLst>
            <a:ext uri="{FF2B5EF4-FFF2-40B4-BE49-F238E27FC236}">
              <a16:creationId xmlns:a16="http://schemas.microsoft.com/office/drawing/2014/main" id="{891D8704-B781-EDE6-0192-C5018B496DB0}"/>
            </a:ext>
          </a:extLst>
        </xdr:cNvPr>
        <xdr:cNvSpPr txBox="1"/>
      </xdr:nvSpPr>
      <xdr:spPr>
        <a:xfrm>
          <a:off x="11882436" y="3767137"/>
          <a:ext cx="3605213" cy="20145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In experiments Zir023 and Zir024 two cubes were used, but for experiments 25-31 only one cube</a:t>
          </a:r>
          <a:r>
            <a:rPr lang="en-US" sz="1100" baseline="0"/>
            <a:t> was used.</a:t>
          </a:r>
        </a:p>
        <a:p>
          <a:r>
            <a:rPr lang="en-US" sz="1100" baseline="0"/>
            <a:t>- In experiments 23-27 SiO2 was added to the inner capsule, while in 28-31 it was added to the outer capsule. That means for experiments 23-27 the weight loss of the inner capsule can't be us</a:t>
          </a:r>
          <a:r>
            <a:rPr lang="en-US" sz="1100" baseline="0">
              <a:solidFill>
                <a:schemeClr val="dk1"/>
              </a:solidFill>
              <a:effectLst/>
              <a:latin typeface="+mn-lt"/>
              <a:ea typeface="+mn-ea"/>
              <a:cs typeface="+mn-cs"/>
            </a:rPr>
            <a:t>ed to estimate solubility.</a:t>
          </a:r>
          <a:endParaRPr lang="en-US" sz="1100" baseline="0"/>
        </a:p>
        <a:p>
          <a:r>
            <a:rPr lang="en-US" sz="1100" baseline="0"/>
            <a:t>Question for Pan: For experiments 28-31 were quenched solutes not collected and weighed?</a:t>
          </a:r>
          <a:endParaRPr lang="en-US" sz="1100"/>
        </a:p>
      </xdr:txBody>
    </xdr:sp>
    <xdr:clientData/>
  </xdr:twoCellAnchor>
</xdr:wsDr>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7"/>
  <sheetViews>
    <sheetView topLeftCell="A15" zoomScaleNormal="100" workbookViewId="0">
      <selection activeCell="N1" sqref="N1"/>
    </sheetView>
  </sheetViews>
  <sheetFormatPr defaultColWidth="8.7109375" defaultRowHeight="15" x14ac:dyDescent="0.25"/>
  <cols>
    <col min="1" max="1" width="38.42578125" customWidth="1"/>
    <col min="2" max="2" width="16.85546875" customWidth="1"/>
    <col min="3" max="3" width="10.5703125" customWidth="1"/>
    <col min="4" max="4" width="16.28515625" customWidth="1"/>
    <col min="5" max="6" width="10.140625" customWidth="1"/>
    <col min="7" max="7" width="16.85546875" customWidth="1"/>
    <col min="8" max="8" width="38.42578125" customWidth="1"/>
    <col min="9" max="9" width="22.7109375" customWidth="1"/>
    <col min="10" max="10" width="11.5703125" customWidth="1"/>
    <col min="11" max="12" width="10.5703125" customWidth="1"/>
  </cols>
  <sheetData>
    <row r="1" spans="1:12" x14ac:dyDescent="0.25">
      <c r="A1" t="s">
        <v>0</v>
      </c>
      <c r="B1" t="s">
        <v>1</v>
      </c>
      <c r="C1" t="s">
        <v>2</v>
      </c>
      <c r="D1" t="s">
        <v>3</v>
      </c>
      <c r="E1" t="s">
        <v>4</v>
      </c>
      <c r="F1" t="s">
        <v>5</v>
      </c>
      <c r="H1" t="s">
        <v>0</v>
      </c>
      <c r="I1" t="s">
        <v>6</v>
      </c>
      <c r="J1" t="s">
        <v>7</v>
      </c>
      <c r="K1" t="s">
        <v>8</v>
      </c>
      <c r="L1" t="s">
        <v>9</v>
      </c>
    </row>
    <row r="2" spans="1:12" x14ac:dyDescent="0.25">
      <c r="A2" t="s">
        <v>10</v>
      </c>
      <c r="B2" t="s">
        <v>11</v>
      </c>
      <c r="C2" t="s">
        <v>12</v>
      </c>
      <c r="D2" t="s">
        <v>11</v>
      </c>
      <c r="E2" t="s">
        <v>12</v>
      </c>
      <c r="F2" t="s">
        <v>11</v>
      </c>
      <c r="H2" t="s">
        <v>10</v>
      </c>
      <c r="I2" t="s">
        <v>13</v>
      </c>
      <c r="J2" t="s">
        <v>11</v>
      </c>
      <c r="K2" t="s">
        <v>12</v>
      </c>
      <c r="L2" t="s">
        <v>13</v>
      </c>
    </row>
    <row r="3" spans="1:12" x14ac:dyDescent="0.25">
      <c r="A3" t="s">
        <v>14</v>
      </c>
      <c r="B3">
        <v>0.1</v>
      </c>
      <c r="C3">
        <v>0.1</v>
      </c>
      <c r="D3">
        <v>0.1</v>
      </c>
      <c r="E3">
        <v>0.1</v>
      </c>
      <c r="F3">
        <v>0.1</v>
      </c>
      <c r="H3" t="s">
        <v>14</v>
      </c>
      <c r="I3">
        <v>0.1</v>
      </c>
      <c r="J3">
        <v>0.1</v>
      </c>
      <c r="K3">
        <v>0.1</v>
      </c>
      <c r="L3">
        <v>0.1</v>
      </c>
    </row>
    <row r="4" spans="1:12" x14ac:dyDescent="0.25">
      <c r="A4" t="s">
        <v>15</v>
      </c>
      <c r="B4">
        <v>450</v>
      </c>
      <c r="C4">
        <v>450</v>
      </c>
      <c r="D4">
        <v>600</v>
      </c>
      <c r="E4">
        <v>600</v>
      </c>
      <c r="F4">
        <v>600</v>
      </c>
      <c r="H4" t="s">
        <v>15</v>
      </c>
      <c r="I4">
        <v>600</v>
      </c>
      <c r="J4">
        <v>750</v>
      </c>
      <c r="K4">
        <v>750</v>
      </c>
      <c r="L4">
        <v>450</v>
      </c>
    </row>
    <row r="5" spans="1:12" x14ac:dyDescent="0.25">
      <c r="A5" t="s">
        <v>16</v>
      </c>
      <c r="B5">
        <f>7*24</f>
        <v>168</v>
      </c>
      <c r="C5">
        <f>7*24</f>
        <v>168</v>
      </c>
      <c r="D5">
        <f>7*24</f>
        <v>168</v>
      </c>
      <c r="E5">
        <f>7*24</f>
        <v>168</v>
      </c>
      <c r="F5">
        <f>7*24</f>
        <v>168</v>
      </c>
      <c r="H5" t="s">
        <v>16</v>
      </c>
      <c r="I5">
        <f>7*24</f>
        <v>168</v>
      </c>
      <c r="J5">
        <f>7*24</f>
        <v>168</v>
      </c>
      <c r="K5">
        <f>7*24</f>
        <v>168</v>
      </c>
      <c r="L5">
        <f>7*24</f>
        <v>168</v>
      </c>
    </row>
    <row r="6" spans="1:12" x14ac:dyDescent="0.25">
      <c r="A6" t="s">
        <v>17</v>
      </c>
      <c r="B6" s="1">
        <v>45733</v>
      </c>
      <c r="C6" s="1">
        <v>45735</v>
      </c>
      <c r="D6" s="1">
        <v>45747</v>
      </c>
      <c r="E6" s="1">
        <v>45782</v>
      </c>
      <c r="F6" s="1">
        <v>45757</v>
      </c>
      <c r="H6" t="s">
        <v>17</v>
      </c>
      <c r="I6" s="1">
        <v>45882</v>
      </c>
      <c r="J6" s="1">
        <v>45882</v>
      </c>
      <c r="K6" s="1"/>
      <c r="L6" s="1"/>
    </row>
    <row r="8" spans="1:12" ht="15.75" customHeight="1" x14ac:dyDescent="0.25">
      <c r="A8" s="2" t="s">
        <v>18</v>
      </c>
      <c r="H8" s="2" t="s">
        <v>18</v>
      </c>
    </row>
    <row r="9" spans="1:12" x14ac:dyDescent="0.25">
      <c r="A9" t="s">
        <v>19</v>
      </c>
      <c r="B9">
        <v>10.8178</v>
      </c>
      <c r="C9">
        <v>16.967700000000001</v>
      </c>
      <c r="D9">
        <v>13.8027</v>
      </c>
      <c r="E9">
        <v>5.7878999999999996</v>
      </c>
      <c r="F9">
        <v>8.1333000000000002</v>
      </c>
      <c r="H9" t="s">
        <v>19</v>
      </c>
      <c r="I9">
        <v>13.001899999999999</v>
      </c>
      <c r="J9">
        <v>18.357600000000001</v>
      </c>
      <c r="K9">
        <v>4.9764999999999997</v>
      </c>
      <c r="L9">
        <v>4.9375999999999998</v>
      </c>
    </row>
    <row r="10" spans="1:12" x14ac:dyDescent="0.25">
      <c r="A10" t="s">
        <v>20</v>
      </c>
      <c r="B10">
        <v>9.8924000000000003</v>
      </c>
      <c r="C10">
        <v>15.0975</v>
      </c>
      <c r="H10" t="s">
        <v>20</v>
      </c>
    </row>
    <row r="11" spans="1:12" x14ac:dyDescent="0.25">
      <c r="A11" t="s">
        <v>21</v>
      </c>
      <c r="B11">
        <v>214.51419999999999</v>
      </c>
      <c r="C11">
        <v>162.2039</v>
      </c>
      <c r="D11">
        <v>202.5943</v>
      </c>
      <c r="E11">
        <v>159.6575</v>
      </c>
      <c r="F11">
        <v>158.0147</v>
      </c>
      <c r="H11" t="s">
        <v>21</v>
      </c>
      <c r="I11">
        <v>211.08930000000001</v>
      </c>
      <c r="J11">
        <v>191.965</v>
      </c>
      <c r="K11">
        <v>165.22499999999999</v>
      </c>
      <c r="L11">
        <v>182.8663</v>
      </c>
    </row>
    <row r="12" spans="1:12" x14ac:dyDescent="0.25">
      <c r="A12" t="s">
        <v>22</v>
      </c>
      <c r="B12">
        <v>215.37190000000001</v>
      </c>
      <c r="C12">
        <v>162.88980000000001</v>
      </c>
      <c r="D12">
        <v>217.1722</v>
      </c>
      <c r="E12">
        <v>166.00470000000001</v>
      </c>
      <c r="F12">
        <v>166.99549999999999</v>
      </c>
      <c r="H12" t="s">
        <v>22</v>
      </c>
    </row>
    <row r="13" spans="1:12" x14ac:dyDescent="0.25">
      <c r="A13" t="s">
        <v>23</v>
      </c>
      <c r="B13" s="3">
        <f>B12-B11</f>
        <v>0.85770000000002256</v>
      </c>
      <c r="C13" s="3">
        <f>C12-C11</f>
        <v>0.68590000000000373</v>
      </c>
      <c r="D13" s="3">
        <f>D12-D14</f>
        <v>0.77080000000000837</v>
      </c>
      <c r="E13" s="3">
        <f>E12-E14</f>
        <v>2.8900000000021464E-2</v>
      </c>
      <c r="F13" s="3">
        <f>F12-F14</f>
        <v>0.84739999999999327</v>
      </c>
      <c r="I13" s="3"/>
      <c r="J13" s="3"/>
      <c r="K13" s="3"/>
      <c r="L13" s="3"/>
    </row>
    <row r="14" spans="1:12" x14ac:dyDescent="0.25">
      <c r="A14" t="s">
        <v>24</v>
      </c>
      <c r="B14">
        <v>236.0975</v>
      </c>
      <c r="C14">
        <v>194.93450000000001</v>
      </c>
      <c r="D14">
        <v>216.4014</v>
      </c>
      <c r="E14">
        <v>165.97579999999999</v>
      </c>
      <c r="F14">
        <v>166.1481</v>
      </c>
      <c r="H14" t="s">
        <v>24</v>
      </c>
      <c r="I14">
        <v>224.05629999999999</v>
      </c>
      <c r="J14">
        <v>209.83070000000001</v>
      </c>
      <c r="K14">
        <v>170.2047</v>
      </c>
      <c r="L14">
        <v>187.8109</v>
      </c>
    </row>
    <row r="15" spans="1:12" x14ac:dyDescent="0.25">
      <c r="A15" t="s">
        <v>25</v>
      </c>
      <c r="B15" s="3">
        <f>B14-B13-B11</f>
        <v>20.725599999999986</v>
      </c>
      <c r="C15" s="3">
        <f>C14-C13-C11</f>
        <v>32.044700000000006</v>
      </c>
      <c r="D15" s="3">
        <f>D14-D11</f>
        <v>13.807099999999991</v>
      </c>
      <c r="E15" s="3">
        <f>E14-E11</f>
        <v>6.3182999999999936</v>
      </c>
      <c r="F15" s="3">
        <f>F14-F11</f>
        <v>8.1333999999999946</v>
      </c>
      <c r="H15" t="s">
        <v>25</v>
      </c>
      <c r="I15" s="3">
        <f>I14-I11</f>
        <v>12.966999999999985</v>
      </c>
      <c r="J15" s="3">
        <f>J14-J11</f>
        <v>17.865700000000004</v>
      </c>
      <c r="K15" s="3">
        <f>K14-K11</f>
        <v>4.9797000000000082</v>
      </c>
      <c r="L15" s="3">
        <f>L14-L11</f>
        <v>4.9446000000000083</v>
      </c>
    </row>
    <row r="16" spans="1:12" x14ac:dyDescent="0.25">
      <c r="A16" t="s">
        <v>26</v>
      </c>
      <c r="B16">
        <v>1322.5</v>
      </c>
      <c r="C16">
        <v>1330.1</v>
      </c>
      <c r="D16">
        <v>1248.5</v>
      </c>
      <c r="E16">
        <v>1080.3</v>
      </c>
      <c r="F16">
        <v>1086.7</v>
      </c>
      <c r="H16" t="s">
        <v>26</v>
      </c>
      <c r="I16">
        <v>1328.5</v>
      </c>
      <c r="J16">
        <v>1364.5</v>
      </c>
      <c r="K16">
        <v>1472.4</v>
      </c>
      <c r="L16">
        <v>1461.1</v>
      </c>
    </row>
    <row r="17" spans="1:12" x14ac:dyDescent="0.25">
      <c r="A17" t="s">
        <v>27</v>
      </c>
      <c r="B17">
        <v>1328.9</v>
      </c>
      <c r="D17">
        <v>1254.5999999999999</v>
      </c>
      <c r="F17">
        <v>1092.7</v>
      </c>
      <c r="H17" t="s">
        <v>22</v>
      </c>
      <c r="I17">
        <v>1329.3</v>
      </c>
      <c r="J17">
        <v>1365.6</v>
      </c>
      <c r="K17">
        <v>1474</v>
      </c>
      <c r="L17">
        <v>1461.9</v>
      </c>
    </row>
    <row r="18" spans="1:12" x14ac:dyDescent="0.25">
      <c r="A18" t="s">
        <v>28</v>
      </c>
      <c r="B18" s="3">
        <f>B17-B16</f>
        <v>6.4000000000000909</v>
      </c>
      <c r="C18" s="3"/>
      <c r="D18" s="3">
        <f>D17-D16</f>
        <v>6.0999999999999091</v>
      </c>
      <c r="E18" s="3"/>
      <c r="F18" s="3">
        <f>F17-F16</f>
        <v>6</v>
      </c>
      <c r="H18" t="s">
        <v>23</v>
      </c>
      <c r="I18" s="3">
        <f>I17-I16</f>
        <v>0.79999999999995453</v>
      </c>
      <c r="J18" s="3">
        <f>J17-J16</f>
        <v>1.0999999999999091</v>
      </c>
      <c r="K18" s="3">
        <f>K17-K16</f>
        <v>1.5999999999999091</v>
      </c>
      <c r="L18" s="3">
        <f>L17-L16</f>
        <v>0.8000000000001819</v>
      </c>
    </row>
    <row r="19" spans="1:12" x14ac:dyDescent="0.25">
      <c r="A19" t="s">
        <v>29</v>
      </c>
      <c r="B19">
        <v>1465.9</v>
      </c>
      <c r="C19">
        <v>1447.8</v>
      </c>
      <c r="D19">
        <v>1387.4</v>
      </c>
      <c r="E19">
        <v>1192.7</v>
      </c>
      <c r="F19">
        <v>1244.0999999999999</v>
      </c>
      <c r="H19" t="s">
        <v>30</v>
      </c>
      <c r="I19">
        <v>1370.5</v>
      </c>
      <c r="J19">
        <v>1370.9</v>
      </c>
      <c r="K19">
        <v>1474</v>
      </c>
      <c r="L19">
        <v>1506.4</v>
      </c>
    </row>
    <row r="20" spans="1:12" x14ac:dyDescent="0.25">
      <c r="A20" t="s">
        <v>31</v>
      </c>
      <c r="B20" s="3">
        <f>B19-B17</f>
        <v>137</v>
      </c>
      <c r="C20" s="3">
        <f>C19-C16</f>
        <v>117.70000000000005</v>
      </c>
      <c r="D20" s="3">
        <f>D19-D17</f>
        <v>132.80000000000018</v>
      </c>
      <c r="E20" s="3">
        <f>E19-E16</f>
        <v>112.40000000000009</v>
      </c>
      <c r="F20" s="3">
        <f>F19-F16</f>
        <v>157.39999999999986</v>
      </c>
      <c r="H20" t="s">
        <v>32</v>
      </c>
      <c r="I20" s="3">
        <f>I19-I17</f>
        <v>41.200000000000045</v>
      </c>
      <c r="J20" s="3">
        <f>J19-J17</f>
        <v>5.3000000000001819</v>
      </c>
      <c r="K20" s="3">
        <f>K19-K17</f>
        <v>0</v>
      </c>
      <c r="L20" s="3">
        <f>L19-L17</f>
        <v>44.5</v>
      </c>
    </row>
    <row r="21" spans="1:12" x14ac:dyDescent="0.25">
      <c r="A21" t="s">
        <v>33</v>
      </c>
      <c r="B21" s="3">
        <f>B18+B24-B17+B13</f>
        <v>143.85770000000002</v>
      </c>
      <c r="C21" s="3">
        <f>C18+C24-C16+C13</f>
        <v>113.1859</v>
      </c>
      <c r="D21" s="3">
        <f>D18+D24-D17+D13</f>
        <v>136.07079999999996</v>
      </c>
      <c r="E21" s="3">
        <f>E18+E24-E16+E13</f>
        <v>96.828899999999976</v>
      </c>
      <c r="F21" s="3">
        <f>F18+F24-F17+F13</f>
        <v>98.947399999999902</v>
      </c>
      <c r="H21" t="s">
        <v>29</v>
      </c>
      <c r="I21">
        <v>1498.7</v>
      </c>
      <c r="J21">
        <v>1499.9</v>
      </c>
      <c r="K21">
        <v>1600.3</v>
      </c>
      <c r="L21">
        <v>1658.1</v>
      </c>
    </row>
    <row r="22" spans="1:12" x14ac:dyDescent="0.25">
      <c r="A22" t="s">
        <v>34</v>
      </c>
      <c r="B22" s="4">
        <f>(B18*0.001)/((B20*0.000001)*(22.9898+18.998))</f>
        <v>1.1125929071576495</v>
      </c>
      <c r="C22" s="4">
        <f>(C18*0.001)/((C20*0.000001)*(22.9898+18.998))</f>
        <v>0</v>
      </c>
      <c r="D22" s="4">
        <f>(D18*0.001)/((D20*0.000001)*(22.9898+18.998))</f>
        <v>1.0939781303082869</v>
      </c>
      <c r="E22" s="4">
        <f>(E18*0.001)/((E20*0.000001)*(22.9898+18.998))</f>
        <v>0</v>
      </c>
      <c r="F22" s="4">
        <f>(F18*0.001)/((F20*0.000001)*(22.9898+18.998))</f>
        <v>0.90786945052769175</v>
      </c>
      <c r="H22" t="s">
        <v>35</v>
      </c>
      <c r="I22" s="3">
        <f>I21-I19</f>
        <v>128.20000000000005</v>
      </c>
      <c r="J22" s="3">
        <f>J21-J19</f>
        <v>129</v>
      </c>
      <c r="K22" s="3">
        <f>K21-K19</f>
        <v>126.29999999999995</v>
      </c>
      <c r="L22" s="3">
        <f>L21-L19</f>
        <v>151.69999999999982</v>
      </c>
    </row>
    <row r="23" spans="1:12" x14ac:dyDescent="0.25">
      <c r="A23" t="s">
        <v>36</v>
      </c>
      <c r="B23">
        <v>1465.5</v>
      </c>
      <c r="C23">
        <v>1442.7</v>
      </c>
      <c r="D23">
        <v>1383.9</v>
      </c>
      <c r="E23">
        <v>1177.0999999999999</v>
      </c>
      <c r="F23">
        <v>1184.9000000000001</v>
      </c>
      <c r="H23" t="s">
        <v>33</v>
      </c>
      <c r="I23" s="3">
        <f>I18+I22+I20</f>
        <v>170.20000000000005</v>
      </c>
      <c r="J23" s="3">
        <f>J18+J22+J20</f>
        <v>135.40000000000009</v>
      </c>
      <c r="K23" s="3">
        <f>K18+K22+K20</f>
        <v>127.89999999999986</v>
      </c>
      <c r="L23" s="3">
        <f>L18+L22+L20</f>
        <v>197</v>
      </c>
    </row>
    <row r="24" spans="1:12" x14ac:dyDescent="0.25">
      <c r="A24" t="s">
        <v>37</v>
      </c>
      <c r="B24">
        <v>1465.5</v>
      </c>
      <c r="C24">
        <v>1442.6</v>
      </c>
      <c r="D24">
        <v>1383.8</v>
      </c>
      <c r="E24">
        <v>1177.0999999999999</v>
      </c>
      <c r="F24">
        <v>1184.8</v>
      </c>
      <c r="H24" t="s">
        <v>34</v>
      </c>
      <c r="I24" s="4">
        <f>(I20*0.001)/((I22*0.000001)*(22.9898+17.008))</f>
        <v>8.0347632848355879</v>
      </c>
      <c r="J24" s="4">
        <f>(J20*0.001)/((J22*0.000001)*(22.9898+17.008))</f>
        <v>1.0271882783010784</v>
      </c>
      <c r="K24" s="4">
        <f>(K20*0.001)/((K22*0.000001)*(22.9898+17.008))</f>
        <v>0</v>
      </c>
      <c r="L24" s="4">
        <f>(L20*0.001)/((L22*0.000001)*(22.9898+17.008))</f>
        <v>7.3339564328641993</v>
      </c>
    </row>
    <row r="25" spans="1:12" x14ac:dyDescent="0.25">
      <c r="H25" t="s">
        <v>36</v>
      </c>
      <c r="I25">
        <v>1491.3</v>
      </c>
      <c r="J25" s="5">
        <v>1495</v>
      </c>
      <c r="K25">
        <v>1579.6</v>
      </c>
      <c r="L25" s="5">
        <v>1649.3</v>
      </c>
    </row>
    <row r="26" spans="1:12" ht="15.75" customHeight="1" x14ac:dyDescent="0.25">
      <c r="A26" s="2" t="s">
        <v>38</v>
      </c>
      <c r="D26" t="s">
        <v>39</v>
      </c>
      <c r="H26" t="s">
        <v>37</v>
      </c>
      <c r="I26">
        <v>1491.3</v>
      </c>
      <c r="J26">
        <v>1494.9</v>
      </c>
      <c r="K26">
        <v>1574.7</v>
      </c>
      <c r="L26">
        <v>1643.8</v>
      </c>
    </row>
    <row r="27" spans="1:12" x14ac:dyDescent="0.25">
      <c r="A27" t="s">
        <v>40</v>
      </c>
      <c r="B27">
        <v>1442.3</v>
      </c>
      <c r="C27">
        <v>1450.3</v>
      </c>
      <c r="D27">
        <v>1421.4</v>
      </c>
      <c r="E27">
        <v>1177.0999999999999</v>
      </c>
      <c r="F27">
        <v>1161.0999999999999</v>
      </c>
    </row>
    <row r="28" spans="1:12" ht="15.75" customHeight="1" x14ac:dyDescent="0.25">
      <c r="A28" t="s">
        <v>41</v>
      </c>
      <c r="B28" s="3">
        <f>B24-B27</f>
        <v>23.200000000000045</v>
      </c>
      <c r="C28" s="3">
        <f>C24-C27</f>
        <v>-7.7000000000000455</v>
      </c>
      <c r="D28" s="3">
        <f>D24-D27</f>
        <v>-37.600000000000136</v>
      </c>
      <c r="E28" s="3">
        <f>E24-E27</f>
        <v>0</v>
      </c>
      <c r="F28" s="3">
        <f>F24-F27</f>
        <v>23.700000000000045</v>
      </c>
      <c r="H28" s="2" t="s">
        <v>38</v>
      </c>
    </row>
    <row r="29" spans="1:12" x14ac:dyDescent="0.25">
      <c r="A29" t="s">
        <v>31</v>
      </c>
      <c r="B29" s="3">
        <f>B27-B17</f>
        <v>113.39999999999986</v>
      </c>
      <c r="C29" s="3"/>
      <c r="D29" s="3">
        <f>D27-D17</f>
        <v>166.80000000000018</v>
      </c>
      <c r="E29" s="3">
        <f>E27-E17</f>
        <v>1177.0999999999999</v>
      </c>
      <c r="F29" s="3">
        <f>F27-F17</f>
        <v>68.399999999999864</v>
      </c>
      <c r="H29" t="s">
        <v>40</v>
      </c>
      <c r="I29">
        <v>1466.7</v>
      </c>
      <c r="J29">
        <v>1494.1</v>
      </c>
      <c r="K29">
        <v>1493.2</v>
      </c>
      <c r="L29">
        <v>1646.6</v>
      </c>
    </row>
    <row r="30" spans="1:12" x14ac:dyDescent="0.25">
      <c r="A30" t="s">
        <v>42</v>
      </c>
      <c r="B30">
        <v>1395.5</v>
      </c>
      <c r="C30">
        <v>1405.8</v>
      </c>
      <c r="D30">
        <v>1393.6</v>
      </c>
      <c r="E30">
        <v>3075.5</v>
      </c>
      <c r="F30">
        <v>3130.5</v>
      </c>
      <c r="H30" t="s">
        <v>41</v>
      </c>
      <c r="I30" s="3">
        <f>I26-I29</f>
        <v>24.599999999999909</v>
      </c>
      <c r="J30" s="3">
        <f>J26-J29</f>
        <v>0.8000000000001819</v>
      </c>
      <c r="K30" s="3">
        <f>K26-K29</f>
        <v>81.5</v>
      </c>
      <c r="L30" s="3">
        <f>L26-L29</f>
        <v>-2.7999999999999545</v>
      </c>
    </row>
    <row r="31" spans="1:12" x14ac:dyDescent="0.25">
      <c r="A31" t="s">
        <v>43</v>
      </c>
      <c r="B31">
        <v>1456.4</v>
      </c>
      <c r="C31">
        <v>1436.2</v>
      </c>
      <c r="D31">
        <v>1533</v>
      </c>
      <c r="E31">
        <v>3160.2</v>
      </c>
      <c r="F31">
        <v>3186.1</v>
      </c>
      <c r="H31" t="s">
        <v>31</v>
      </c>
      <c r="I31" s="3">
        <f>I29-I19</f>
        <v>96.200000000000045</v>
      </c>
      <c r="J31" s="3">
        <f>J29-J19</f>
        <v>123.19999999999982</v>
      </c>
      <c r="K31" s="3">
        <f>K29-K19</f>
        <v>19.200000000000045</v>
      </c>
      <c r="L31" s="3">
        <f>L29-L19</f>
        <v>140.19999999999982</v>
      </c>
    </row>
    <row r="32" spans="1:12" x14ac:dyDescent="0.25">
      <c r="A32" t="s">
        <v>44</v>
      </c>
      <c r="B32">
        <v>4215.3</v>
      </c>
      <c r="C32">
        <v>4170.8</v>
      </c>
      <c r="D32">
        <v>4181.2</v>
      </c>
      <c r="E32">
        <v>3450.8</v>
      </c>
      <c r="F32">
        <v>3501.7</v>
      </c>
      <c r="H32" t="s">
        <v>42</v>
      </c>
      <c r="I32">
        <v>3115.7</v>
      </c>
      <c r="J32">
        <v>3096.3</v>
      </c>
      <c r="K32">
        <v>3132.8</v>
      </c>
      <c r="L32">
        <v>3075.6</v>
      </c>
    </row>
    <row r="33" spans="1:12" x14ac:dyDescent="0.25">
      <c r="A33" t="s">
        <v>45</v>
      </c>
      <c r="B33" s="3">
        <f>B31-B30</f>
        <v>60.900000000000091</v>
      </c>
      <c r="C33" s="3">
        <f>C31-C30</f>
        <v>30.400000000000091</v>
      </c>
      <c r="D33" s="3">
        <f>D31-D30</f>
        <v>139.40000000000009</v>
      </c>
      <c r="E33" s="3">
        <f>E31-E30</f>
        <v>84.699999999999818</v>
      </c>
      <c r="F33" s="3">
        <f>F31-F30</f>
        <v>55.599999999999909</v>
      </c>
      <c r="H33" t="s">
        <v>43</v>
      </c>
      <c r="I33">
        <v>3222.2</v>
      </c>
      <c r="J33">
        <v>3287.3</v>
      </c>
      <c r="K33">
        <v>3139.5</v>
      </c>
      <c r="L33">
        <v>3223.2</v>
      </c>
    </row>
    <row r="34" spans="1:12" x14ac:dyDescent="0.25">
      <c r="A34" t="s">
        <v>46</v>
      </c>
      <c r="B34" s="3">
        <f>B21-B33</f>
        <v>82.957699999999932</v>
      </c>
      <c r="C34" s="3">
        <f>C21-C33</f>
        <v>82.785899999999913</v>
      </c>
      <c r="D34" s="3">
        <f>D21-D33</f>
        <v>-3.3292000000001281</v>
      </c>
      <c r="E34" s="3">
        <f>E21-E33</f>
        <v>12.128900000000158</v>
      </c>
      <c r="F34" s="3">
        <f>F21-F33</f>
        <v>43.347399999999993</v>
      </c>
      <c r="H34" t="s">
        <v>44</v>
      </c>
      <c r="I34">
        <v>3484.8</v>
      </c>
      <c r="J34">
        <v>3479.4</v>
      </c>
      <c r="K34">
        <v>3507.3</v>
      </c>
      <c r="L34">
        <v>3438.9</v>
      </c>
    </row>
    <row r="35" spans="1:12" x14ac:dyDescent="0.25">
      <c r="A35" t="s">
        <v>47</v>
      </c>
      <c r="B35">
        <v>235.84394</v>
      </c>
      <c r="C35">
        <v>194.22970000000001</v>
      </c>
      <c r="D35">
        <v>216.78360000000001</v>
      </c>
      <c r="E35">
        <v>157.6156</v>
      </c>
      <c r="F35">
        <v>166.1626</v>
      </c>
      <c r="H35" t="s">
        <v>45</v>
      </c>
      <c r="I35" s="3">
        <f>I33-I32</f>
        <v>106.5</v>
      </c>
      <c r="J35" s="3">
        <f>J33-J32</f>
        <v>191</v>
      </c>
      <c r="K35" s="3">
        <f>K33-K32</f>
        <v>6.6999999999998181</v>
      </c>
      <c r="L35" s="3">
        <f>L33-L32</f>
        <v>147.59999999999991</v>
      </c>
    </row>
    <row r="36" spans="1:12" x14ac:dyDescent="0.25">
      <c r="A36" t="s">
        <v>48</v>
      </c>
      <c r="B36" s="3">
        <f>B14-B35</f>
        <v>0.25355999999999312</v>
      </c>
      <c r="C36" s="3">
        <f>C14-C35</f>
        <v>0.70480000000000587</v>
      </c>
      <c r="D36" s="3">
        <f>D14-D35</f>
        <v>-0.38220000000001164</v>
      </c>
      <c r="E36" s="3">
        <f>E14-E35</f>
        <v>8.3601999999999919</v>
      </c>
      <c r="F36" s="3">
        <f>F14-F35</f>
        <v>-1.4499999999998181E-2</v>
      </c>
      <c r="H36" t="s">
        <v>46</v>
      </c>
      <c r="I36" s="3">
        <f>I23-I35</f>
        <v>63.700000000000045</v>
      </c>
      <c r="J36" s="3">
        <f>J23-J35</f>
        <v>-55.599999999999909</v>
      </c>
      <c r="K36" s="3">
        <f>K23-K35</f>
        <v>121.20000000000005</v>
      </c>
      <c r="L36" s="3">
        <f>L23-L35</f>
        <v>49.400000000000091</v>
      </c>
    </row>
    <row r="37" spans="1:12" x14ac:dyDescent="0.25">
      <c r="A37" t="s">
        <v>19</v>
      </c>
      <c r="B37">
        <v>10.8438</v>
      </c>
      <c r="C37">
        <v>16.412600000000001</v>
      </c>
      <c r="D37">
        <v>13.6615</v>
      </c>
      <c r="E37">
        <v>5.7675000000000001</v>
      </c>
      <c r="F37">
        <v>7.7248000000000001</v>
      </c>
      <c r="H37" t="s">
        <v>47</v>
      </c>
      <c r="I37">
        <v>224.01820000000001</v>
      </c>
      <c r="J37">
        <v>209.78870000000001</v>
      </c>
      <c r="K37">
        <v>170.2073</v>
      </c>
      <c r="L37">
        <v>187.76329999999999</v>
      </c>
    </row>
    <row r="38" spans="1:12" x14ac:dyDescent="0.25">
      <c r="A38" t="s">
        <v>20</v>
      </c>
      <c r="B38">
        <v>9.8995999999999995</v>
      </c>
      <c r="C38">
        <v>14.916600000000001</v>
      </c>
      <c r="H38" t="s">
        <v>48</v>
      </c>
      <c r="I38" s="3">
        <f>I14-I37</f>
        <v>3.8099999999985812E-2</v>
      </c>
      <c r="J38" s="3">
        <f>J14-J37</f>
        <v>4.2000000000001592E-2</v>
      </c>
      <c r="K38" s="3">
        <f>K14-K37</f>
        <v>-2.6000000000010459E-3</v>
      </c>
      <c r="L38" s="3">
        <f>L14-L37</f>
        <v>4.7600000000016962E-2</v>
      </c>
    </row>
    <row r="39" spans="1:12" x14ac:dyDescent="0.25">
      <c r="A39" t="s">
        <v>49</v>
      </c>
      <c r="B39" s="3">
        <f>(B9+B10)-(B37+B38)</f>
        <v>-3.3200000000000784E-2</v>
      </c>
      <c r="C39" s="3">
        <f>(C9+C10)-(C37+C38)</f>
        <v>0.73600000000000421</v>
      </c>
      <c r="D39" s="3">
        <f>(D9+D10)-(D37+D38)</f>
        <v>0.14119999999999955</v>
      </c>
      <c r="E39" s="3">
        <f>(E9+E10)-(E37+E38)</f>
        <v>2.039999999999953E-2</v>
      </c>
      <c r="F39" s="3">
        <f>(F9+F10)-(F37+F38)</f>
        <v>0.40850000000000009</v>
      </c>
      <c r="H39" t="s">
        <v>19</v>
      </c>
      <c r="I39">
        <v>12.9262</v>
      </c>
      <c r="J39">
        <v>16.504200000000001</v>
      </c>
      <c r="K39">
        <v>4.7793999999999999</v>
      </c>
      <c r="L39">
        <v>4.9188999999999998</v>
      </c>
    </row>
    <row r="40" spans="1:12" x14ac:dyDescent="0.25">
      <c r="A40" t="s">
        <v>50</v>
      </c>
      <c r="B40" s="6">
        <f>B39/(B39+B21)</f>
        <v>-2.308368880128266E-4</v>
      </c>
      <c r="C40" s="6">
        <f>C39/(C39+C21)</f>
        <v>6.4605664055814045E-3</v>
      </c>
      <c r="D40" s="6">
        <f>D39/(D39+D21)</f>
        <v>1.0366193874254807E-3</v>
      </c>
      <c r="E40" s="7">
        <f>E39/(E39+E21)</f>
        <v>2.1063652499294817E-4</v>
      </c>
      <c r="F40" s="6">
        <f>F39/(F39+F21)</f>
        <v>4.1114820559221997E-3</v>
      </c>
      <c r="H40" t="s">
        <v>20</v>
      </c>
    </row>
    <row r="41" spans="1:12" x14ac:dyDescent="0.25">
      <c r="A41" t="s">
        <v>51</v>
      </c>
      <c r="B41">
        <v>1.1862999999999999</v>
      </c>
      <c r="C41">
        <v>3</v>
      </c>
      <c r="D41">
        <v>1.1862999999999999</v>
      </c>
      <c r="E41" t="s">
        <v>52</v>
      </c>
      <c r="F41">
        <v>7.5499999999999998E-2</v>
      </c>
      <c r="H41" t="s">
        <v>49</v>
      </c>
      <c r="I41" s="3">
        <f>(I9+I10)-(I39+I40)</f>
        <v>7.5699999999999434E-2</v>
      </c>
      <c r="J41" s="3">
        <f>(J9+J10)-(J39+J40)</f>
        <v>1.8534000000000006</v>
      </c>
      <c r="K41" s="3">
        <f>(K9+K10)-(K39+K40)</f>
        <v>0.19709999999999983</v>
      </c>
      <c r="L41" s="3">
        <f>(L9+L10)-(L39+L40)</f>
        <v>1.8699999999999939E-2</v>
      </c>
    </row>
    <row r="42" spans="1:12" x14ac:dyDescent="0.25">
      <c r="A42" t="s">
        <v>53</v>
      </c>
      <c r="B42" s="6">
        <f>B41/(B41+B21)</f>
        <v>8.1788974380188062E-3</v>
      </c>
      <c r="C42" s="6">
        <f>C41/(C41+C21)</f>
        <v>2.5820689085336516E-2</v>
      </c>
      <c r="D42" s="6">
        <f>D41/(D41+D21)</f>
        <v>8.6429044472016402E-3</v>
      </c>
      <c r="E42" s="7"/>
      <c r="F42" s="6">
        <f>F41/(F41+F21)</f>
        <v>7.6244989795289846E-4</v>
      </c>
      <c r="H42" t="s">
        <v>50</v>
      </c>
      <c r="I42" s="7">
        <f>I41/(I41+I23)</f>
        <v>4.4457312464432337E-4</v>
      </c>
      <c r="J42" s="7">
        <f>J41/(J41+J23)</f>
        <v>1.3503490623911681E-2</v>
      </c>
      <c r="K42" s="7">
        <f>K41/(K41+K23)</f>
        <v>1.5386765196089532E-3</v>
      </c>
      <c r="L42" s="7">
        <f>L41/(L41+L23)</f>
        <v>9.4914848184461366E-5</v>
      </c>
    </row>
    <row r="43" spans="1:12" x14ac:dyDescent="0.25">
      <c r="A43" t="s">
        <v>54</v>
      </c>
      <c r="B43" s="8">
        <f>B36/(B36+B29)</f>
        <v>2.2309903886864033E-3</v>
      </c>
      <c r="C43" s="8">
        <f>C36/(C36+C21)</f>
        <v>6.1883893943930962E-3</v>
      </c>
      <c r="D43" s="8">
        <f>D36/(D36+D29)</f>
        <v>-2.296629326911011E-3</v>
      </c>
      <c r="E43" s="8">
        <f>E36/(E36+E29)</f>
        <v>7.0522823119662662E-3</v>
      </c>
      <c r="F43" s="8">
        <f>F36/(F36+F29)</f>
        <v>-2.120332526631846E-4</v>
      </c>
      <c r="H43" t="s">
        <v>51</v>
      </c>
    </row>
    <row r="44" spans="1:12" x14ac:dyDescent="0.25">
      <c r="A44" t="s">
        <v>55</v>
      </c>
      <c r="B44">
        <f>AVERAGE(B36,B41)</f>
        <v>0.71992999999999652</v>
      </c>
      <c r="C44">
        <f>AVERAGE(C36,C39,C41)</f>
        <v>1.48026666666667</v>
      </c>
      <c r="D44">
        <f>AVERAGE(D39,D41)</f>
        <v>0.66374999999999973</v>
      </c>
      <c r="E44">
        <f>AVERAGE(E39,E41)</f>
        <v>2.039999999999953E-2</v>
      </c>
      <c r="F44">
        <f>AVERAGE(F39,F41)</f>
        <v>0.24200000000000005</v>
      </c>
      <c r="H44" t="s">
        <v>53</v>
      </c>
      <c r="I44" s="9"/>
      <c r="J44" s="9"/>
      <c r="K44" s="9"/>
      <c r="L44" s="9"/>
    </row>
    <row r="45" spans="1:12" x14ac:dyDescent="0.25">
      <c r="A45" t="s">
        <v>56</v>
      </c>
      <c r="B45" s="10">
        <f>B44/(B44+B21)</f>
        <v>4.9795393658064275E-3</v>
      </c>
      <c r="C45" s="10">
        <f>C44/(C44+C21)</f>
        <v>1.2909358616389343E-2</v>
      </c>
      <c r="D45" s="10">
        <f>D44/(D44+D21)</f>
        <v>4.8542961526549062E-3</v>
      </c>
      <c r="E45" s="10">
        <f>E44/(E44+E21)</f>
        <v>2.1063652499294817E-4</v>
      </c>
      <c r="F45" s="10">
        <f>F44/(F44+F21)</f>
        <v>2.4397768309920242E-3</v>
      </c>
      <c r="H45" t="s">
        <v>55</v>
      </c>
      <c r="I45">
        <f>AVERAGE(I41,I38)</f>
        <v>5.6899999999992623E-2</v>
      </c>
      <c r="J45">
        <f>AVERAGE(J41,J38)</f>
        <v>0.9477000000000011</v>
      </c>
      <c r="K45">
        <f>AVERAGE(K41,K38)</f>
        <v>9.7249999999999392E-2</v>
      </c>
      <c r="L45">
        <f>AVERAGE(L41,L38)</f>
        <v>3.315000000000845E-2</v>
      </c>
    </row>
    <row r="46" spans="1:12" x14ac:dyDescent="0.25">
      <c r="A46" t="s">
        <v>57</v>
      </c>
      <c r="B46" s="11">
        <f>((B44/1000)/183.3)/(B$20/1000000)</f>
        <v>2.8668649774411404E-2</v>
      </c>
      <c r="C46" s="11">
        <f>((C44/1000)/183.3)/(C$20/1000000)</f>
        <v>6.8612150536986605E-2</v>
      </c>
      <c r="D46" s="11">
        <f>((D44/1000)/183.3)/(D$20/1000000)</f>
        <v>2.7267416638731636E-2</v>
      </c>
      <c r="E46" s="11">
        <f>((E44/1000)/183.3)/(E$20/1000000)</f>
        <v>9.9015091064759333E-4</v>
      </c>
      <c r="F46" s="11">
        <f>((F44/1000)/183.3)/(F$20/1000000)</f>
        <v>8.3878020561899639E-3</v>
      </c>
      <c r="H46" t="s">
        <v>56</v>
      </c>
      <c r="I46" s="12">
        <f>I45/(I45+I23)</f>
        <v>3.3420084589812579E-4</v>
      </c>
      <c r="J46" s="12">
        <f>J45/(J45+J23)</f>
        <v>6.9506122948902E-3</v>
      </c>
      <c r="K46" s="12">
        <f>K45/(K45+K23)</f>
        <v>7.5978194844029457E-4</v>
      </c>
      <c r="L46" s="12">
        <f>L45/(L45+L23)</f>
        <v>1.6824580026258753E-4</v>
      </c>
    </row>
    <row r="47" spans="1:12" x14ac:dyDescent="0.25">
      <c r="A47" t="s">
        <v>58</v>
      </c>
      <c r="B47" s="11">
        <f>1000*B46</f>
        <v>28.668649774411403</v>
      </c>
      <c r="C47" s="11">
        <f>1000*C46</f>
        <v>68.612150536986604</v>
      </c>
      <c r="D47" s="11">
        <f>1000*D46</f>
        <v>27.267416638731635</v>
      </c>
      <c r="E47" s="11">
        <f>1000*E46</f>
        <v>0.99015091064759331</v>
      </c>
      <c r="F47" s="11">
        <f>1000*F46</f>
        <v>8.3878020561899636</v>
      </c>
      <c r="H47" t="s">
        <v>57</v>
      </c>
      <c r="I47" s="11">
        <f>((I45/1000)/183.3)/(I$22/1000000)</f>
        <v>2.421373450682393E-3</v>
      </c>
      <c r="J47" s="11">
        <f>((J45/1000)/183.3)/(J$22/1000000)</f>
        <v>4.0079168728352349E-2</v>
      </c>
      <c r="K47" s="11">
        <f>((K45/1000)/183.3)/(K$22/1000000)</f>
        <v>4.2007205801616026E-3</v>
      </c>
      <c r="L47" s="11">
        <f>((L45/1000)/183.3)/(L$22/1000000)</f>
        <v>1.1921625829257319E-3</v>
      </c>
    </row>
    <row r="48" spans="1:12" x14ac:dyDescent="0.25">
      <c r="A48" t="s">
        <v>59</v>
      </c>
      <c r="C48" s="13"/>
      <c r="D48" s="13"/>
      <c r="E48">
        <v>2.5299999999999998</v>
      </c>
      <c r="H48" t="s">
        <v>58</v>
      </c>
      <c r="I48" s="11">
        <f>1000*I47</f>
        <v>2.4213734506823932</v>
      </c>
      <c r="J48" s="11">
        <f>1000*J47</f>
        <v>40.07916872835235</v>
      </c>
      <c r="K48" s="11">
        <f>1000*K47</f>
        <v>4.2007205801616028</v>
      </c>
      <c r="L48" s="11">
        <f>1000*L47</f>
        <v>1.1921625829257319</v>
      </c>
    </row>
    <row r="49" spans="1:10" x14ac:dyDescent="0.25">
      <c r="A49" t="s">
        <v>60</v>
      </c>
      <c r="E49">
        <v>3.1E-2</v>
      </c>
      <c r="H49" t="s">
        <v>59</v>
      </c>
      <c r="I49">
        <v>23.56</v>
      </c>
      <c r="J49">
        <v>58.89</v>
      </c>
    </row>
    <row r="50" spans="1:10" x14ac:dyDescent="0.25">
      <c r="H50" t="s">
        <v>60</v>
      </c>
      <c r="I50">
        <v>0.17899999999999999</v>
      </c>
      <c r="J50">
        <v>2.39</v>
      </c>
    </row>
    <row r="51" spans="1:10" x14ac:dyDescent="0.25">
      <c r="B51" s="8"/>
      <c r="C51" s="8"/>
      <c r="D51" s="8"/>
      <c r="E51" s="8"/>
      <c r="F51" s="8"/>
    </row>
    <row r="52" spans="1:10" x14ac:dyDescent="0.25">
      <c r="B52" s="8"/>
      <c r="C52" s="8"/>
      <c r="D52" s="8"/>
      <c r="E52" s="8"/>
      <c r="F52" s="8"/>
    </row>
    <row r="53" spans="1:10" x14ac:dyDescent="0.25">
      <c r="B53" s="8"/>
      <c r="C53" s="8"/>
      <c r="D53" s="8"/>
      <c r="E53" s="8"/>
      <c r="F53" s="8"/>
    </row>
    <row r="54" spans="1:10" x14ac:dyDescent="0.25">
      <c r="B54" s="8"/>
      <c r="C54" s="8"/>
      <c r="D54" s="8"/>
      <c r="E54" s="8"/>
      <c r="F54" s="8"/>
    </row>
    <row r="55" spans="1:10" x14ac:dyDescent="0.25">
      <c r="B55" s="14"/>
      <c r="C55" s="14"/>
      <c r="D55" s="14"/>
      <c r="E55" s="14"/>
      <c r="F55" s="14"/>
    </row>
    <row r="56" spans="1:10" x14ac:dyDescent="0.25">
      <c r="B56" s="14"/>
      <c r="C56" s="14"/>
      <c r="D56" s="14"/>
      <c r="E56" s="14"/>
      <c r="F56" s="14"/>
    </row>
    <row r="57" spans="1:10" x14ac:dyDescent="0.25">
      <c r="B57" s="14"/>
      <c r="C57" s="14"/>
      <c r="D57" s="14"/>
      <c r="E57" s="14"/>
      <c r="F57" s="14"/>
    </row>
    <row r="58" spans="1:10" x14ac:dyDescent="0.25">
      <c r="F58" s="15"/>
    </row>
    <row r="59" spans="1:10" x14ac:dyDescent="0.25">
      <c r="F59" s="13"/>
    </row>
    <row r="65" spans="1:1" x14ac:dyDescent="0.25">
      <c r="A65" t="s">
        <v>61</v>
      </c>
    </row>
    <row r="66" spans="1:1" x14ac:dyDescent="0.25">
      <c r="A66" t="s">
        <v>62</v>
      </c>
    </row>
    <row r="67" spans="1:1" x14ac:dyDescent="0.25">
      <c r="A67" t="s">
        <v>34</v>
      </c>
    </row>
  </sheetData>
  <pageMargins left="0.7" right="0.7" top="0.75" bottom="0.75"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9"/>
  <sheetViews>
    <sheetView tabSelected="1" zoomScaleNormal="100" workbookViewId="0">
      <pane xSplit="1" ySplit="1" topLeftCell="B22" activePane="bottomRight" state="frozen"/>
      <selection pane="topRight" activeCell="B1" sqref="B1"/>
      <selection pane="bottomLeft" activeCell="A2" sqref="A2"/>
      <selection pane="bottomRight" activeCell="M40" sqref="M40"/>
    </sheetView>
  </sheetViews>
  <sheetFormatPr defaultColWidth="8.7109375" defaultRowHeight="15" x14ac:dyDescent="0.25"/>
  <cols>
    <col min="1" max="1" width="38.42578125" customWidth="1"/>
    <col min="2" max="2" width="16.85546875" customWidth="1"/>
    <col min="3" max="3" width="10.5703125" customWidth="1"/>
    <col min="4" max="4" width="16.28515625" customWidth="1"/>
    <col min="5" max="5" width="10.140625" customWidth="1"/>
    <col min="6" max="6" width="16.140625" bestFit="1" customWidth="1"/>
    <col min="7" max="7" width="22.7109375" customWidth="1"/>
    <col min="8" max="8" width="16.140625" bestFit="1" customWidth="1"/>
    <col min="9" max="10" width="10.5703125"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11</v>
      </c>
      <c r="E2" t="s">
        <v>12</v>
      </c>
      <c r="F2" t="s">
        <v>11</v>
      </c>
      <c r="G2" t="s">
        <v>13</v>
      </c>
      <c r="H2" t="s">
        <v>11</v>
      </c>
      <c r="I2" t="s">
        <v>12</v>
      </c>
      <c r="J2" t="s">
        <v>13</v>
      </c>
    </row>
    <row r="3" spans="1:10" x14ac:dyDescent="0.25">
      <c r="A3" t="s">
        <v>14</v>
      </c>
      <c r="B3">
        <v>0.1</v>
      </c>
      <c r="C3">
        <v>0.1</v>
      </c>
      <c r="D3">
        <v>0.1</v>
      </c>
      <c r="E3">
        <v>0.1</v>
      </c>
      <c r="F3">
        <v>0.1</v>
      </c>
      <c r="G3">
        <v>0.1</v>
      </c>
      <c r="H3">
        <v>0.1</v>
      </c>
      <c r="I3">
        <v>0.1</v>
      </c>
      <c r="J3">
        <v>0.1</v>
      </c>
    </row>
    <row r="4" spans="1:10" x14ac:dyDescent="0.25">
      <c r="A4" t="s">
        <v>15</v>
      </c>
      <c r="B4">
        <v>450</v>
      </c>
      <c r="C4">
        <v>450</v>
      </c>
      <c r="D4">
        <v>600</v>
      </c>
      <c r="E4">
        <v>600</v>
      </c>
      <c r="F4">
        <v>600</v>
      </c>
      <c r="G4">
        <v>600</v>
      </c>
      <c r="H4">
        <v>750</v>
      </c>
      <c r="I4">
        <v>750</v>
      </c>
      <c r="J4">
        <v>450</v>
      </c>
    </row>
    <row r="5" spans="1:10" x14ac:dyDescent="0.25">
      <c r="A5" t="s">
        <v>16</v>
      </c>
      <c r="B5">
        <f>7*24</f>
        <v>168</v>
      </c>
      <c r="C5">
        <f>7*24</f>
        <v>168</v>
      </c>
      <c r="D5">
        <f>7*24</f>
        <v>168</v>
      </c>
      <c r="E5">
        <f>7*24</f>
        <v>168</v>
      </c>
      <c r="F5">
        <f>7*24</f>
        <v>168</v>
      </c>
      <c r="G5">
        <f>7*24</f>
        <v>168</v>
      </c>
      <c r="H5">
        <f>7*24</f>
        <v>168</v>
      </c>
      <c r="I5">
        <f>7*24</f>
        <v>168</v>
      </c>
      <c r="J5">
        <f>7*24</f>
        <v>168</v>
      </c>
    </row>
    <row r="6" spans="1:10" x14ac:dyDescent="0.25">
      <c r="A6" t="s">
        <v>17</v>
      </c>
      <c r="B6" s="1">
        <v>45733</v>
      </c>
      <c r="C6" s="1">
        <v>45735</v>
      </c>
      <c r="D6" s="1">
        <v>45747</v>
      </c>
      <c r="E6" s="1">
        <v>45782</v>
      </c>
      <c r="F6" s="1">
        <v>45757</v>
      </c>
      <c r="G6" s="1">
        <v>45882</v>
      </c>
      <c r="H6" s="1">
        <v>45882</v>
      </c>
      <c r="I6" s="1"/>
      <c r="J6" s="1"/>
    </row>
    <row r="8" spans="1:10" ht="15.75" x14ac:dyDescent="0.25">
      <c r="A8" s="2" t="s">
        <v>18</v>
      </c>
    </row>
    <row r="9" spans="1:10" x14ac:dyDescent="0.25">
      <c r="A9" t="s">
        <v>19</v>
      </c>
      <c r="B9">
        <v>10.8178</v>
      </c>
      <c r="C9">
        <v>16.967700000000001</v>
      </c>
      <c r="D9">
        <v>13.8027</v>
      </c>
      <c r="E9">
        <v>5.7878999999999996</v>
      </c>
      <c r="F9">
        <v>8.1333000000000002</v>
      </c>
      <c r="G9">
        <v>13.001899999999999</v>
      </c>
      <c r="H9">
        <v>18.357600000000001</v>
      </c>
      <c r="I9">
        <v>4.9764999999999997</v>
      </c>
      <c r="J9">
        <v>4.9375999999999998</v>
      </c>
    </row>
    <row r="10" spans="1:10" x14ac:dyDescent="0.25">
      <c r="A10" t="s">
        <v>20</v>
      </c>
      <c r="B10">
        <v>9.8924000000000003</v>
      </c>
      <c r="C10">
        <v>15.0975</v>
      </c>
    </row>
    <row r="11" spans="1:10" x14ac:dyDescent="0.25">
      <c r="A11" t="s">
        <v>21</v>
      </c>
      <c r="B11">
        <v>214.51419999999999</v>
      </c>
      <c r="C11">
        <v>162.2039</v>
      </c>
      <c r="D11">
        <v>202.5943</v>
      </c>
      <c r="E11">
        <v>159.6575</v>
      </c>
      <c r="F11">
        <v>158.0147</v>
      </c>
      <c r="G11">
        <v>211.08930000000001</v>
      </c>
      <c r="H11">
        <v>191.965</v>
      </c>
      <c r="I11">
        <v>165.22499999999999</v>
      </c>
      <c r="J11">
        <v>182.8663</v>
      </c>
    </row>
    <row r="12" spans="1:10" x14ac:dyDescent="0.25">
      <c r="A12" t="s">
        <v>63</v>
      </c>
      <c r="B12">
        <v>215.37190000000001</v>
      </c>
      <c r="C12">
        <v>162.88980000000001</v>
      </c>
      <c r="D12">
        <v>217.1722</v>
      </c>
      <c r="E12">
        <v>166.00470000000001</v>
      </c>
      <c r="F12">
        <v>166.99549999999999</v>
      </c>
    </row>
    <row r="13" spans="1:10" x14ac:dyDescent="0.25">
      <c r="A13" t="s">
        <v>64</v>
      </c>
      <c r="B13" s="3">
        <f>B12-B11</f>
        <v>0.85770000000002256</v>
      </c>
      <c r="C13" s="3">
        <f>C12-C11</f>
        <v>0.68590000000000373</v>
      </c>
      <c r="D13" s="3">
        <f>D12-D14</f>
        <v>0.77080000000000837</v>
      </c>
      <c r="E13" s="3">
        <f>E12-E14</f>
        <v>2.8900000000021464E-2</v>
      </c>
      <c r="F13" s="3">
        <f>F12-F14</f>
        <v>0.84739999999999327</v>
      </c>
    </row>
    <row r="14" spans="1:10" x14ac:dyDescent="0.25">
      <c r="A14" t="s">
        <v>24</v>
      </c>
      <c r="B14">
        <v>236.0975</v>
      </c>
      <c r="C14">
        <v>194.93450000000001</v>
      </c>
      <c r="D14">
        <v>216.4014</v>
      </c>
      <c r="E14">
        <v>165.97579999999999</v>
      </c>
      <c r="F14">
        <v>166.1481</v>
      </c>
      <c r="G14">
        <v>224.05629999999999</v>
      </c>
      <c r="H14">
        <v>209.83070000000001</v>
      </c>
      <c r="I14">
        <v>170.2047</v>
      </c>
      <c r="J14">
        <v>187.8109</v>
      </c>
    </row>
    <row r="15" spans="1:10" x14ac:dyDescent="0.25">
      <c r="A15" t="s">
        <v>25</v>
      </c>
      <c r="B15" s="3">
        <f>B14-B13-B11</f>
        <v>20.725599999999986</v>
      </c>
      <c r="C15" s="3">
        <f>C14-C13-C11</f>
        <v>32.044700000000006</v>
      </c>
      <c r="D15" s="3">
        <f>D14-D11</f>
        <v>13.807099999999991</v>
      </c>
      <c r="E15" s="3">
        <f>E14-E11</f>
        <v>6.3182999999999936</v>
      </c>
      <c r="F15" s="3">
        <f>F14-F11</f>
        <v>8.1333999999999946</v>
      </c>
      <c r="G15" s="3">
        <f>G14-G11</f>
        <v>12.966999999999985</v>
      </c>
      <c r="H15" s="3">
        <f>H14-H11</f>
        <v>17.865700000000004</v>
      </c>
      <c r="I15" s="3">
        <f>I14-I11</f>
        <v>4.9797000000000082</v>
      </c>
      <c r="J15" s="3">
        <f>J14-J11</f>
        <v>4.9446000000000083</v>
      </c>
    </row>
    <row r="16" spans="1:10" x14ac:dyDescent="0.25">
      <c r="A16" t="s">
        <v>26</v>
      </c>
      <c r="B16">
        <v>1322.5</v>
      </c>
      <c r="C16">
        <v>1330.1</v>
      </c>
      <c r="D16">
        <v>1248.5</v>
      </c>
      <c r="E16">
        <v>1080.3</v>
      </c>
      <c r="F16">
        <v>1086.7</v>
      </c>
      <c r="G16">
        <v>1328.5</v>
      </c>
      <c r="H16">
        <v>1364.5</v>
      </c>
      <c r="I16">
        <v>1472.4</v>
      </c>
      <c r="J16">
        <v>1461.1</v>
      </c>
    </row>
    <row r="17" spans="1:10" x14ac:dyDescent="0.25">
      <c r="A17" t="s">
        <v>65</v>
      </c>
      <c r="G17">
        <v>1329.3</v>
      </c>
      <c r="H17">
        <v>1365.6</v>
      </c>
      <c r="I17">
        <v>1474</v>
      </c>
      <c r="J17">
        <v>1461.9</v>
      </c>
    </row>
    <row r="18" spans="1:10" x14ac:dyDescent="0.25">
      <c r="A18" t="s">
        <v>66</v>
      </c>
      <c r="G18" s="3">
        <f>G17-G16</f>
        <v>0.79999999999995453</v>
      </c>
      <c r="H18" s="3">
        <f>H17-H16</f>
        <v>1.0999999999999091</v>
      </c>
      <c r="I18" s="3">
        <f>I17-I16</f>
        <v>1.5999999999999091</v>
      </c>
      <c r="J18" s="3">
        <f>J17-J16</f>
        <v>0.8000000000001819</v>
      </c>
    </row>
    <row r="19" spans="1:10" x14ac:dyDescent="0.25">
      <c r="A19" t="s">
        <v>67</v>
      </c>
      <c r="B19">
        <v>1328.9</v>
      </c>
      <c r="C19">
        <f>C16</f>
        <v>1330.1</v>
      </c>
      <c r="D19">
        <v>1254.5999999999999</v>
      </c>
      <c r="E19">
        <f>E16</f>
        <v>1080.3</v>
      </c>
      <c r="F19">
        <v>1092.7</v>
      </c>
      <c r="G19">
        <v>1370.5</v>
      </c>
      <c r="H19">
        <v>1370.9</v>
      </c>
      <c r="I19">
        <v>1474</v>
      </c>
      <c r="J19">
        <v>1506.4</v>
      </c>
    </row>
    <row r="20" spans="1:10" x14ac:dyDescent="0.25">
      <c r="A20" t="s">
        <v>32</v>
      </c>
      <c r="B20" s="3">
        <f>B19-B16</f>
        <v>6.4000000000000909</v>
      </c>
      <c r="C20" s="3">
        <f>C19-C16</f>
        <v>0</v>
      </c>
      <c r="D20" s="3">
        <f>D19-D16</f>
        <v>6.0999999999999091</v>
      </c>
      <c r="E20" s="3">
        <f>E19-E16</f>
        <v>0</v>
      </c>
      <c r="F20" s="3">
        <f>F19-F16</f>
        <v>6</v>
      </c>
      <c r="G20" s="3">
        <f>G19-G17</f>
        <v>41.200000000000045</v>
      </c>
      <c r="H20" s="3">
        <f>H19-H17</f>
        <v>5.3000000000001819</v>
      </c>
      <c r="I20" s="3">
        <f>I19-I17</f>
        <v>0</v>
      </c>
      <c r="J20" s="3">
        <f>J19-J17</f>
        <v>44.5</v>
      </c>
    </row>
    <row r="21" spans="1:10" x14ac:dyDescent="0.25">
      <c r="A21" t="s">
        <v>29</v>
      </c>
      <c r="B21">
        <v>1465.9</v>
      </c>
      <c r="C21">
        <v>1447.8</v>
      </c>
      <c r="D21">
        <v>1387.4</v>
      </c>
      <c r="E21">
        <v>1192.7</v>
      </c>
      <c r="F21">
        <v>1244.0999999999999</v>
      </c>
      <c r="G21">
        <v>1498.7</v>
      </c>
      <c r="H21">
        <v>1499.9</v>
      </c>
      <c r="I21">
        <v>1600.3</v>
      </c>
      <c r="J21">
        <v>1658.1</v>
      </c>
    </row>
    <row r="22" spans="1:10" x14ac:dyDescent="0.25">
      <c r="A22" t="s">
        <v>31</v>
      </c>
      <c r="B22" s="3">
        <f>B26-B19</f>
        <v>136.59999999999991</v>
      </c>
      <c r="C22" s="3">
        <f>C26-C19</f>
        <v>112.5</v>
      </c>
      <c r="D22" s="3">
        <f>D26-D19</f>
        <v>129.20000000000005</v>
      </c>
      <c r="E22" s="3">
        <f>E26-E19</f>
        <v>96.799999999999955</v>
      </c>
      <c r="F22" s="3">
        <f>F26-F19</f>
        <v>92.099999999999909</v>
      </c>
      <c r="G22" s="3">
        <f>G26-G19</f>
        <v>120.79999999999995</v>
      </c>
      <c r="H22" s="3">
        <f>H26-H19</f>
        <v>124</v>
      </c>
      <c r="I22" s="3">
        <f>I26-I19</f>
        <v>100.70000000000005</v>
      </c>
      <c r="J22" s="3">
        <f>J26-J19</f>
        <v>137.39999999999986</v>
      </c>
    </row>
    <row r="23" spans="1:10" x14ac:dyDescent="0.25">
      <c r="A23" t="s">
        <v>33</v>
      </c>
      <c r="B23" s="3">
        <f>B22+B20+B13</f>
        <v>143.85770000000002</v>
      </c>
      <c r="C23" s="3">
        <f>C22+C20+C13</f>
        <v>113.1859</v>
      </c>
      <c r="D23" s="3">
        <f>D22+D20+D13</f>
        <v>136.07079999999996</v>
      </c>
      <c r="E23" s="3">
        <f>E22+E20+E13</f>
        <v>96.828899999999976</v>
      </c>
      <c r="F23" s="3">
        <f>F22+F20+F13</f>
        <v>98.947399999999902</v>
      </c>
      <c r="G23" s="3">
        <f>G22+G20+G13</f>
        <v>162</v>
      </c>
      <c r="H23" s="3">
        <f>H22+H20+H13</f>
        <v>129.30000000000018</v>
      </c>
      <c r="I23" s="3">
        <f>I22+I20+I13</f>
        <v>100.70000000000005</v>
      </c>
      <c r="J23" s="3">
        <f>J22+J20+J13</f>
        <v>181.89999999999986</v>
      </c>
    </row>
    <row r="24" spans="1:10" x14ac:dyDescent="0.25">
      <c r="A24" t="s">
        <v>34</v>
      </c>
      <c r="B24" s="4">
        <f>(B20*0.001)/((B22*0.000001)*(22.9898+18.998))</f>
        <v>1.1158508658901762</v>
      </c>
      <c r="C24" s="4">
        <f>(C20*0.001)/((C22*0.000001)*(22.9898+18.998))</f>
        <v>0</v>
      </c>
      <c r="D24" s="4">
        <f>(D20*0.001)/((D22*0.000001)*(22.9898+18.998))</f>
        <v>1.1244604930722961</v>
      </c>
      <c r="E24" s="4">
        <f>(E20*0.001)/((E22*0.000001)*(22.9898+18.998))</f>
        <v>0</v>
      </c>
      <c r="F24" s="4">
        <f>(F20*0.001)/((F22*0.000001)*(22.9898+18.998))</f>
        <v>1.5515597341265874</v>
      </c>
      <c r="G24" s="4">
        <f>(G20*0.001)/((G22*0.000001)*(22.9898 + 18.998))</f>
        <v>8.1228262173537829</v>
      </c>
      <c r="H24" s="4">
        <f>(H20*0.001)/((H22*0.000001)*(22.9898 + 18.998))</f>
        <v>1.0179608239505864</v>
      </c>
      <c r="I24" s="4">
        <f>(I20*0.001)/((I22*0.000001)*(22.9898 + 18.998))</f>
        <v>0</v>
      </c>
      <c r="J24" s="4">
        <f>(J20*0.001)/((J22*0.000001)*(22.9898 + 18.998))</f>
        <v>7.7134764584317219</v>
      </c>
    </row>
    <row r="25" spans="1:10" x14ac:dyDescent="0.25">
      <c r="A25" t="s">
        <v>36</v>
      </c>
      <c r="B25">
        <v>1465.5</v>
      </c>
      <c r="C25">
        <v>1442.7</v>
      </c>
      <c r="D25">
        <v>1383.9</v>
      </c>
      <c r="E25">
        <v>1177.0999999999999</v>
      </c>
      <c r="F25">
        <v>1184.9000000000001</v>
      </c>
      <c r="G25">
        <v>1491.3</v>
      </c>
      <c r="H25" s="5">
        <v>1495</v>
      </c>
      <c r="I25">
        <v>1579.6</v>
      </c>
      <c r="J25" s="5">
        <v>1649.3</v>
      </c>
    </row>
    <row r="26" spans="1:10" x14ac:dyDescent="0.25">
      <c r="A26" t="s">
        <v>37</v>
      </c>
      <c r="B26">
        <v>1465.5</v>
      </c>
      <c r="C26">
        <v>1442.6</v>
      </c>
      <c r="D26">
        <v>1383.8</v>
      </c>
      <c r="E26">
        <v>1177.0999999999999</v>
      </c>
      <c r="F26">
        <v>1184.8</v>
      </c>
      <c r="G26">
        <v>1491.3</v>
      </c>
      <c r="H26">
        <v>1494.9</v>
      </c>
      <c r="I26">
        <v>1574.7</v>
      </c>
      <c r="J26">
        <v>1643.8</v>
      </c>
    </row>
    <row r="28" spans="1:10" ht="15.75" x14ac:dyDescent="0.25">
      <c r="A28" s="2" t="s">
        <v>38</v>
      </c>
      <c r="D28" t="s">
        <v>39</v>
      </c>
    </row>
    <row r="29" spans="1:10" x14ac:dyDescent="0.25">
      <c r="A29" t="s">
        <v>40</v>
      </c>
      <c r="B29">
        <v>1442.3</v>
      </c>
      <c r="C29">
        <v>1450.3</v>
      </c>
      <c r="D29">
        <v>1421.4</v>
      </c>
      <c r="E29">
        <v>1177.0999999999999</v>
      </c>
      <c r="F29">
        <v>1161.0999999999999</v>
      </c>
      <c r="G29">
        <v>1466.7</v>
      </c>
      <c r="H29">
        <v>1494.1</v>
      </c>
      <c r="I29">
        <v>1493.2</v>
      </c>
      <c r="J29">
        <v>1646.6</v>
      </c>
    </row>
    <row r="30" spans="1:10" x14ac:dyDescent="0.25">
      <c r="A30" t="s">
        <v>41</v>
      </c>
      <c r="B30" s="3">
        <f>B26-B29</f>
        <v>23.200000000000045</v>
      </c>
      <c r="C30" s="3">
        <f>C26-C29</f>
        <v>-7.7000000000000455</v>
      </c>
      <c r="D30" s="3">
        <f>D26-D29</f>
        <v>-37.600000000000136</v>
      </c>
      <c r="E30" s="3">
        <f>E26-E29</f>
        <v>0</v>
      </c>
      <c r="F30" s="3">
        <f>F26-F29</f>
        <v>23.700000000000045</v>
      </c>
      <c r="G30" s="3">
        <f>G26-G29</f>
        <v>24.599999999999909</v>
      </c>
      <c r="H30" s="3">
        <f>H26-H29</f>
        <v>0.8000000000001819</v>
      </c>
      <c r="I30" s="3">
        <f>I26-I29</f>
        <v>81.5</v>
      </c>
      <c r="J30" s="3">
        <f>J26-J29</f>
        <v>-2.7999999999999545</v>
      </c>
    </row>
    <row r="31" spans="1:10" x14ac:dyDescent="0.25">
      <c r="A31" t="s">
        <v>31</v>
      </c>
      <c r="B31" s="3">
        <f>B29-B19</f>
        <v>113.39999999999986</v>
      </c>
      <c r="C31" s="3">
        <f>C29-C19</f>
        <v>120.20000000000005</v>
      </c>
      <c r="D31" s="3">
        <f>D29-D19</f>
        <v>166.80000000000018</v>
      </c>
      <c r="E31" s="3">
        <f>E29-E19</f>
        <v>96.799999999999955</v>
      </c>
      <c r="F31" s="3">
        <f>F29-F19</f>
        <v>68.399999999999864</v>
      </c>
      <c r="G31" s="3">
        <f>G29-G19</f>
        <v>96.200000000000045</v>
      </c>
      <c r="H31" s="3">
        <f>H29-H19</f>
        <v>123.19999999999982</v>
      </c>
      <c r="I31" s="3">
        <f>I29-I19</f>
        <v>19.200000000000045</v>
      </c>
      <c r="J31" s="3">
        <f>J29-J19</f>
        <v>140.19999999999982</v>
      </c>
    </row>
    <row r="32" spans="1:10" x14ac:dyDescent="0.25">
      <c r="A32" t="s">
        <v>42</v>
      </c>
      <c r="B32">
        <v>1395.5</v>
      </c>
      <c r="C32">
        <v>1405.8</v>
      </c>
      <c r="D32">
        <v>1393.6</v>
      </c>
      <c r="E32">
        <v>3075.5</v>
      </c>
      <c r="F32">
        <v>3130.5</v>
      </c>
      <c r="G32">
        <v>3115.7</v>
      </c>
      <c r="H32">
        <v>3096.3</v>
      </c>
      <c r="I32">
        <v>3132.8</v>
      </c>
      <c r="J32">
        <v>3075.6</v>
      </c>
    </row>
    <row r="33" spans="1:10" x14ac:dyDescent="0.25">
      <c r="A33" t="s">
        <v>43</v>
      </c>
      <c r="B33">
        <v>1456.4</v>
      </c>
      <c r="C33">
        <v>1436.2</v>
      </c>
      <c r="D33">
        <v>1533</v>
      </c>
      <c r="E33">
        <v>3160.2</v>
      </c>
      <c r="F33">
        <v>3186.1</v>
      </c>
      <c r="G33">
        <v>3222.2</v>
      </c>
      <c r="H33">
        <v>3287.3</v>
      </c>
      <c r="I33">
        <v>3139.5</v>
      </c>
      <c r="J33">
        <v>3223.2</v>
      </c>
    </row>
    <row r="34" spans="1:10" x14ac:dyDescent="0.25">
      <c r="A34" t="s">
        <v>44</v>
      </c>
      <c r="B34">
        <v>4215.3</v>
      </c>
      <c r="C34">
        <v>4170.8</v>
      </c>
      <c r="D34">
        <v>4181.2</v>
      </c>
      <c r="E34">
        <v>3450.8</v>
      </c>
      <c r="F34">
        <v>3501.7</v>
      </c>
      <c r="G34">
        <v>3484.8</v>
      </c>
      <c r="H34">
        <v>3479.4</v>
      </c>
      <c r="I34">
        <v>3507.3</v>
      </c>
      <c r="J34">
        <v>3438.9</v>
      </c>
    </row>
    <row r="35" spans="1:10" x14ac:dyDescent="0.25">
      <c r="A35" t="s">
        <v>45</v>
      </c>
      <c r="B35" s="3">
        <f>B33-B32</f>
        <v>60.900000000000091</v>
      </c>
      <c r="C35" s="3">
        <f>C33-C32</f>
        <v>30.400000000000091</v>
      </c>
      <c r="D35" s="3">
        <f>D33-D32</f>
        <v>139.40000000000009</v>
      </c>
      <c r="E35" s="3">
        <f>E33-E32</f>
        <v>84.699999999999818</v>
      </c>
      <c r="F35" s="3">
        <f>F33-F32</f>
        <v>55.599999999999909</v>
      </c>
      <c r="G35" s="3">
        <f>G33-G32</f>
        <v>106.5</v>
      </c>
      <c r="H35" s="3">
        <f>H33-H32</f>
        <v>191</v>
      </c>
      <c r="I35" s="3">
        <f>I33-I32</f>
        <v>6.6999999999998181</v>
      </c>
      <c r="J35" s="3">
        <f>J33-J32</f>
        <v>147.59999999999991</v>
      </c>
    </row>
    <row r="36" spans="1:10" x14ac:dyDescent="0.25">
      <c r="A36" t="s">
        <v>46</v>
      </c>
      <c r="B36" s="3">
        <f>B23-B35</f>
        <v>82.957699999999932</v>
      </c>
      <c r="C36" s="3">
        <f t="shared" ref="C36:J36" si="0">C23-C35</f>
        <v>82.785899999999913</v>
      </c>
      <c r="D36" s="3">
        <f t="shared" si="0"/>
        <v>-3.3292000000001281</v>
      </c>
      <c r="E36" s="3">
        <f t="shared" si="0"/>
        <v>12.128900000000158</v>
      </c>
      <c r="F36" s="3">
        <f t="shared" si="0"/>
        <v>43.347399999999993</v>
      </c>
      <c r="G36" s="3">
        <f t="shared" si="0"/>
        <v>55.5</v>
      </c>
      <c r="H36" s="3">
        <f t="shared" si="0"/>
        <v>-61.699999999999818</v>
      </c>
      <c r="I36" s="3">
        <f t="shared" si="0"/>
        <v>94.000000000000227</v>
      </c>
      <c r="J36" s="3">
        <f t="shared" si="0"/>
        <v>34.299999999999955</v>
      </c>
    </row>
    <row r="37" spans="1:10" x14ac:dyDescent="0.25">
      <c r="A37" t="s">
        <v>47</v>
      </c>
      <c r="B37">
        <v>235.84394</v>
      </c>
      <c r="C37">
        <v>194.22970000000001</v>
      </c>
      <c r="D37">
        <v>216.78360000000001</v>
      </c>
      <c r="E37">
        <v>157.6156</v>
      </c>
      <c r="F37">
        <v>166.1626</v>
      </c>
      <c r="G37">
        <v>224.01820000000001</v>
      </c>
      <c r="H37">
        <v>209.78870000000001</v>
      </c>
      <c r="I37">
        <v>170.2073</v>
      </c>
      <c r="J37">
        <v>187.76329999999999</v>
      </c>
    </row>
    <row r="38" spans="1:10" x14ac:dyDescent="0.25">
      <c r="A38" t="s">
        <v>48</v>
      </c>
      <c r="B38" s="3">
        <f>B14-B37</f>
        <v>0.25355999999999312</v>
      </c>
      <c r="C38" s="3">
        <f>C14-C37</f>
        <v>0.70480000000000587</v>
      </c>
      <c r="D38" s="3">
        <f>D14-D37</f>
        <v>-0.38220000000001164</v>
      </c>
      <c r="E38" s="3">
        <f>E14-E37</f>
        <v>8.3601999999999919</v>
      </c>
      <c r="F38" s="3">
        <f>F14-F37</f>
        <v>-1.4499999999998181E-2</v>
      </c>
      <c r="G38" s="3">
        <f>G14-G37</f>
        <v>3.8099999999985812E-2</v>
      </c>
      <c r="H38" s="3">
        <f>H14-H37</f>
        <v>4.2000000000001592E-2</v>
      </c>
      <c r="I38" s="3">
        <f>I14-I37</f>
        <v>-2.6000000000010459E-3</v>
      </c>
      <c r="J38" s="3">
        <f>J14-J37</f>
        <v>4.7600000000016962E-2</v>
      </c>
    </row>
    <row r="39" spans="1:10" x14ac:dyDescent="0.25">
      <c r="A39" t="s">
        <v>19</v>
      </c>
      <c r="B39">
        <v>10.8438</v>
      </c>
      <c r="C39">
        <v>16.412600000000001</v>
      </c>
      <c r="D39">
        <v>13.6615</v>
      </c>
      <c r="E39">
        <v>5.7675000000000001</v>
      </c>
      <c r="F39">
        <v>7.7248000000000001</v>
      </c>
      <c r="G39">
        <v>12.9262</v>
      </c>
      <c r="H39">
        <v>16.504200000000001</v>
      </c>
      <c r="I39">
        <v>4.7793999999999999</v>
      </c>
      <c r="J39">
        <v>4.9188999999999998</v>
      </c>
    </row>
    <row r="40" spans="1:10" x14ac:dyDescent="0.25">
      <c r="A40" t="s">
        <v>20</v>
      </c>
      <c r="B40">
        <v>9.8995999999999995</v>
      </c>
      <c r="C40">
        <v>14.916600000000001</v>
      </c>
    </row>
    <row r="41" spans="1:10" x14ac:dyDescent="0.25">
      <c r="A41" t="s">
        <v>49</v>
      </c>
      <c r="B41" s="3">
        <f>(B9+B10)-(B39+B40)</f>
        <v>-3.3200000000000784E-2</v>
      </c>
      <c r="C41" s="3">
        <f>(C9+C10)-(C39+C40)</f>
        <v>0.73600000000000421</v>
      </c>
      <c r="D41" s="3">
        <f>(D9+D10)-(D39+D40)</f>
        <v>0.14119999999999955</v>
      </c>
      <c r="E41" s="3">
        <f>(E9+E10)-(E39+E40)</f>
        <v>2.039999999999953E-2</v>
      </c>
      <c r="F41" s="3">
        <f>(F9+F10)-(F39+F40)</f>
        <v>0.40850000000000009</v>
      </c>
      <c r="G41" s="3">
        <f>(G9+G10)-(G39+G40)</f>
        <v>7.5699999999999434E-2</v>
      </c>
      <c r="H41" s="3">
        <f>(H9+H10)-(H39+H40)</f>
        <v>1.8534000000000006</v>
      </c>
      <c r="I41" s="3">
        <f>(I9+I10)-(I39+I40)</f>
        <v>0.19709999999999983</v>
      </c>
      <c r="J41" s="3">
        <f>(J9+J10)-(J39+J40)</f>
        <v>1.8699999999999939E-2</v>
      </c>
    </row>
    <row r="42" spans="1:10" x14ac:dyDescent="0.25">
      <c r="A42" t="s">
        <v>50</v>
      </c>
      <c r="B42" s="6">
        <f>B41/(B41+B23)</f>
        <v>-2.308368880128266E-4</v>
      </c>
      <c r="C42" s="6">
        <f t="shared" ref="C42:J42" si="1">C41/(C41+C23)</f>
        <v>6.4605664055814045E-3</v>
      </c>
      <c r="D42" s="6">
        <f t="shared" si="1"/>
        <v>1.0366193874254807E-3</v>
      </c>
      <c r="E42" s="6">
        <f t="shared" si="1"/>
        <v>2.1063652499294817E-4</v>
      </c>
      <c r="F42" s="6">
        <f t="shared" si="1"/>
        <v>4.1114820559221997E-3</v>
      </c>
      <c r="G42" s="6">
        <f t="shared" si="1"/>
        <v>4.670656983125751E-4</v>
      </c>
      <c r="H42" s="6">
        <f t="shared" si="1"/>
        <v>1.4131543673286381E-2</v>
      </c>
      <c r="I42" s="6">
        <f t="shared" si="1"/>
        <v>1.9534753724338928E-3</v>
      </c>
      <c r="J42" s="6">
        <f t="shared" si="1"/>
        <v>1.0279317079552543E-4</v>
      </c>
    </row>
    <row r="43" spans="1:10" x14ac:dyDescent="0.25">
      <c r="A43" t="s">
        <v>51</v>
      </c>
      <c r="B43">
        <v>1.1862999999999999</v>
      </c>
      <c r="C43">
        <v>3</v>
      </c>
      <c r="D43">
        <v>1.1862999999999999</v>
      </c>
      <c r="E43" t="s">
        <v>52</v>
      </c>
      <c r="F43">
        <v>7.5499999999999998E-2</v>
      </c>
    </row>
    <row r="44" spans="1:10" x14ac:dyDescent="0.25">
      <c r="A44" t="s">
        <v>53</v>
      </c>
      <c r="B44" s="6">
        <f>B43/(B43+B23)</f>
        <v>8.1788974380188062E-3</v>
      </c>
      <c r="C44" s="6">
        <f t="shared" ref="C44:F44" si="2">C43/(C43+C23)</f>
        <v>2.5820689085336516E-2</v>
      </c>
      <c r="D44" s="6">
        <f t="shared" si="2"/>
        <v>8.6429044472016402E-3</v>
      </c>
      <c r="E44" s="7"/>
      <c r="F44" s="6">
        <f t="shared" si="2"/>
        <v>7.6244989795289846E-4</v>
      </c>
      <c r="G44" s="9"/>
      <c r="H44" s="9"/>
      <c r="I44" s="9"/>
      <c r="J44" s="9"/>
    </row>
    <row r="45" spans="1:10" x14ac:dyDescent="0.25">
      <c r="A45" t="s">
        <v>54</v>
      </c>
      <c r="B45" s="8">
        <f>B38/(B38+B31)</f>
        <v>2.2309903886864033E-3</v>
      </c>
      <c r="C45" s="8">
        <f>C38/(C38+C31)</f>
        <v>5.8293798095692276E-3</v>
      </c>
      <c r="D45" s="8">
        <f t="shared" ref="C45:F45" si="3">D38/(D38+D31)</f>
        <v>-2.296629326911011E-3</v>
      </c>
      <c r="E45" s="8">
        <f t="shared" si="3"/>
        <v>7.9499658616092359E-2</v>
      </c>
      <c r="F45" s="8">
        <f t="shared" si="3"/>
        <v>-2.120332526631846E-4</v>
      </c>
    </row>
    <row r="46" spans="1:10" x14ac:dyDescent="0.25">
      <c r="A46" t="s">
        <v>55</v>
      </c>
      <c r="B46" cm="1">
        <f t="array" ref="B46">_xlfn.LET(_xlpm.x,_xlfn.VSTACK(B41,B43),AVERAGE(_xlfn._xlws.FILTER(_xlpm.x,_xlpm.x&gt;0)))</f>
        <v>1.1862999999999999</v>
      </c>
      <c r="C46" cm="1">
        <f t="array" ref="C46">_xlfn.LET(_xlpm.x,_xlfn.VSTACK(C41,C43),AVERAGE(_xlfn._xlws.FILTER(_xlpm.x,_xlpm.x&gt;0)))</f>
        <v>1.8680000000000021</v>
      </c>
      <c r="D46" cm="1">
        <f t="array" ref="D46">_xlfn.LET(_xlpm.x,_xlfn.VSTACK(D41,D43),AVERAGE(_xlfn._xlws.FILTER(_xlpm.x,_xlpm.x&gt;0)))</f>
        <v>0.66374999999999973</v>
      </c>
      <c r="E46" cm="1">
        <f t="array" ref="E46">_xlfn.LET(_xlpm.x,_xlfn.VSTACK(E41,E43),AVERAGE(_xlfn._xlws.FILTER(_xlpm.x,_xlpm.x&gt;0)))</f>
        <v>2.039999999999953E-2</v>
      </c>
      <c r="F46" cm="1">
        <f t="array" ref="F46">_xlfn.LET(_xlpm.x,_xlfn.VSTACK(F41,F43),AVERAGE(_xlfn._xlws.FILTER(_xlpm.x,_xlpm.x&gt;0)))</f>
        <v>0.24200000000000005</v>
      </c>
      <c r="G46" cm="1">
        <f t="array" ref="G46">_xlfn.LET(_xlpm.x,_xlfn.VSTACK(G38,G41,G43),AVERAGE(_xlfn._xlws.FILTER(_xlpm.x,_xlpm.x&gt;0)))</f>
        <v>5.6899999999992623E-2</v>
      </c>
      <c r="H46" cm="1">
        <f t="array" ref="H46">_xlfn.LET(_xlpm.x,_xlfn.VSTACK(H38,H41,H43),AVERAGE(_xlfn._xlws.FILTER(_xlpm.x,_xlpm.x&gt;0)))</f>
        <v>0.9477000000000011</v>
      </c>
      <c r="I46" cm="1">
        <f t="array" ref="I46">_xlfn.LET(_xlpm.x,_xlfn.VSTACK(I38,I41,I43),AVERAGE(_xlfn._xlws.FILTER(_xlpm.x,_xlpm.x&gt;0)))</f>
        <v>0.19709999999999983</v>
      </c>
      <c r="J46" cm="1">
        <f t="array" ref="J46">_xlfn.LET(_xlpm.x,_xlfn.VSTACK(J38,J41,J43),AVERAGE(_xlfn._xlws.FILTER(_xlpm.x,_xlpm.x&gt;0)))</f>
        <v>3.315000000000845E-2</v>
      </c>
    </row>
    <row r="47" spans="1:10" x14ac:dyDescent="0.25">
      <c r="A47" t="s">
        <v>56</v>
      </c>
      <c r="B47" s="10">
        <f>B46/(B46+B23)</f>
        <v>8.1788974380188062E-3</v>
      </c>
      <c r="C47" s="10">
        <f t="shared" ref="C47:J47" si="4">C46/(C46+C23)</f>
        <v>1.6235868579856937E-2</v>
      </c>
      <c r="D47" s="10">
        <f t="shared" si="4"/>
        <v>4.8542961526549062E-3</v>
      </c>
      <c r="E47" s="10">
        <f t="shared" si="4"/>
        <v>2.1063652499294817E-4</v>
      </c>
      <c r="F47" s="10">
        <f t="shared" si="4"/>
        <v>2.4397768309920242E-3</v>
      </c>
      <c r="G47" s="10">
        <f t="shared" si="4"/>
        <v>3.5111124549459252E-4</v>
      </c>
      <c r="H47" s="10">
        <f t="shared" si="4"/>
        <v>7.2761361620972947E-3</v>
      </c>
      <c r="I47" s="10">
        <f t="shared" si="4"/>
        <v>1.9534753724338928E-3</v>
      </c>
      <c r="J47" s="10">
        <f t="shared" si="4"/>
        <v>1.8220978419825344E-4</v>
      </c>
    </row>
    <row r="48" spans="1:10" x14ac:dyDescent="0.25">
      <c r="A48" t="s">
        <v>57</v>
      </c>
      <c r="B48" s="11">
        <f>((B46/1000)/183.3)/(B$22/1000000)</f>
        <v>4.7378506460778069E-2</v>
      </c>
      <c r="C48" s="11">
        <f>((C46/1000)/183.3)/(C$22/1000000)</f>
        <v>9.0586167181911953E-2</v>
      </c>
      <c r="D48" s="11">
        <f>((D46/1000)/183.3)/(D$22/1000000)</f>
        <v>2.8027189857767532E-2</v>
      </c>
      <c r="E48" s="11">
        <f>((E46/1000)/183.3)/(E$22/1000000)</f>
        <v>1.149720685504025E-3</v>
      </c>
      <c r="F48" s="11">
        <f>((F46/1000)/183.3)/(F$22/1000000)</f>
        <v>1.4334853894074923E-2</v>
      </c>
      <c r="G48" s="11">
        <f>((G46/1000)/183.3)/(G$22/1000000)</f>
        <v>2.5697026190188992E-3</v>
      </c>
      <c r="H48" s="11">
        <f>((H46/1000)/183.3)/(H$22/1000000)</f>
        <v>4.169526424159236E-2</v>
      </c>
      <c r="I48" s="11">
        <f>((I46/1000)/183.3)/(I$22/1000000)</f>
        <v>1.0678117335769078E-2</v>
      </c>
      <c r="J48" s="11">
        <f>((J46/1000)/183.3)/(J$22/1000000)</f>
        <v>1.3162377280191665E-3</v>
      </c>
    </row>
    <row r="49" spans="1:10" x14ac:dyDescent="0.25">
      <c r="A49" t="s">
        <v>58</v>
      </c>
      <c r="B49" s="11">
        <f>1000*B48</f>
        <v>47.37850646077807</v>
      </c>
      <c r="C49" s="11">
        <f>1000*C48</f>
        <v>90.586167181911946</v>
      </c>
      <c r="D49" s="11">
        <f>1000*D48</f>
        <v>28.027189857767532</v>
      </c>
      <c r="E49" s="11">
        <f>1000*E48</f>
        <v>1.149720685504025</v>
      </c>
      <c r="F49" s="11">
        <f>1000*F48</f>
        <v>14.334853894074923</v>
      </c>
      <c r="G49" s="11">
        <f>1000*G48</f>
        <v>2.5697026190188992</v>
      </c>
      <c r="H49" s="11">
        <f>1000*H48</f>
        <v>41.695264241592362</v>
      </c>
      <c r="I49" s="11">
        <f>1000*I48</f>
        <v>10.678117335769079</v>
      </c>
      <c r="J49" s="11">
        <f>1000*J48</f>
        <v>1.3162377280191664</v>
      </c>
    </row>
    <row r="50" spans="1:10" x14ac:dyDescent="0.25">
      <c r="A50" t="s">
        <v>59</v>
      </c>
      <c r="C50" s="13"/>
      <c r="D50" s="13"/>
      <c r="E50">
        <v>2.5299999999999998</v>
      </c>
      <c r="G50">
        <v>23.56</v>
      </c>
      <c r="H50">
        <v>58.89</v>
      </c>
    </row>
    <row r="51" spans="1:10" x14ac:dyDescent="0.25">
      <c r="A51" t="s">
        <v>60</v>
      </c>
      <c r="E51">
        <v>3.1E-2</v>
      </c>
      <c r="G51">
        <v>0.17899999999999999</v>
      </c>
      <c r="H51">
        <v>2.39</v>
      </c>
    </row>
    <row r="67" spans="1:1" x14ac:dyDescent="0.25">
      <c r="A67" t="s">
        <v>61</v>
      </c>
    </row>
    <row r="68" spans="1:1" x14ac:dyDescent="0.25">
      <c r="A68" t="s">
        <v>62</v>
      </c>
    </row>
    <row r="69" spans="1:1" x14ac:dyDescent="0.25">
      <c r="A69" t="s">
        <v>34</v>
      </c>
    </row>
  </sheetData>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 (aligned)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Ayers</dc:creator>
  <dc:description/>
  <cp:lastModifiedBy>John Ayers</cp:lastModifiedBy>
  <cp:revision>0</cp:revision>
  <dcterms:created xsi:type="dcterms:W3CDTF">2026-10-06T15:50:31Z</dcterms:created>
  <dcterms:modified xsi:type="dcterms:W3CDTF">2026-10-06T17:01:17Z</dcterms:modified>
  <dc:language>en-US</dc:language>
</cp:coreProperties>
</file>