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Experiments/"/>
    </mc:Choice>
  </mc:AlternateContent>
  <xr:revisionPtr revIDLastSave="16" documentId="8_{5CFCE9D3-CBD8-4FEB-A2C2-DF63923BCCEF}" xr6:coauthVersionLast="47" xr6:coauthVersionMax="47" xr10:uidLastSave="{C19F0B3A-E5E8-4854-878A-5C6413C79D20}"/>
  <bookViews>
    <workbookView xWindow="-120" yWindow="-120" windowWidth="29040" windowHeight="15720" xr2:uid="{27DDA55C-E27F-4D2A-A37A-ED977B23DD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D17" i="1"/>
  <c r="F15" i="1"/>
  <c r="F14" i="1"/>
  <c r="E14" i="1"/>
  <c r="E15" i="1" s="1"/>
  <c r="D14" i="1"/>
  <c r="D15" i="1" s="1"/>
  <c r="C15" i="1"/>
  <c r="C14" i="1"/>
  <c r="B15" i="1"/>
  <c r="B14" i="1"/>
  <c r="F5" i="1"/>
  <c r="E5" i="1"/>
  <c r="D5" i="1"/>
  <c r="C5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tc={0773025C-C6C8-4313-9F85-A155F8AB112D}</author>
  </authors>
  <commentList>
    <comment ref="A1" authorId="0" shapeId="0" xr:uid="{0773025C-C6C8-4313-9F85-A155F8AB112D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weights in mg</t>
      </text>
    </comment>
  </commentList>
</comments>
</file>

<file path=xl/sharedStrings.xml><?xml version="1.0" encoding="utf-8"?>
<sst xmlns="http://schemas.openxmlformats.org/spreadsheetml/2006/main" count="28" uniqueCount="23">
  <si>
    <t>Expt ID</t>
  </si>
  <si>
    <t>Zir023</t>
  </si>
  <si>
    <t>Zir024</t>
  </si>
  <si>
    <t>Zir025</t>
  </si>
  <si>
    <t>Zir026</t>
  </si>
  <si>
    <t>Zir027</t>
  </si>
  <si>
    <t>Fluid</t>
  </si>
  <si>
    <t>USGS49 + 1m NaF</t>
  </si>
  <si>
    <t>USGS49</t>
  </si>
  <si>
    <t>Pressure (GPa)</t>
  </si>
  <si>
    <t>Temperature (deg. C)</t>
  </si>
  <si>
    <t>Duration (h)</t>
  </si>
  <si>
    <t>Weight cube 1</t>
  </si>
  <si>
    <t>Weight cube 2</t>
  </si>
  <si>
    <t>Weight of SiO2</t>
    <phoneticPr fontId="2" type="noConversion"/>
  </si>
  <si>
    <t>Weight of NaF</t>
    <phoneticPr fontId="2" type="noConversion"/>
  </si>
  <si>
    <t>Weight of H2O</t>
    <phoneticPr fontId="2" type="noConversion"/>
  </si>
  <si>
    <t>Weight of total fluid</t>
    <phoneticPr fontId="2" type="noConversion"/>
  </si>
  <si>
    <t>Calc weight loss cubes</t>
  </si>
  <si>
    <t>Calc solubility from wt. loss cubes (wt. %)</t>
  </si>
  <si>
    <t>Calc. solb. From wt loss i.c.</t>
  </si>
  <si>
    <t>Calc solubility from wt. loss cubes (mmolal)</t>
  </si>
  <si>
    <t>Calc solubility from isotope dilution (mmolal)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</si>
</sst>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9"/>
      <color theme="1"/>
      <name val="Times New Roman"/>
      <family val="2"/>
      <charset val="134"/>
    </font>
    <font>
      <sz val="9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4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0" fontId="0" fillId="0" borderId="0" xfId="1" applyNumberFormat="1" applyFont="1" applyFill="1" applyAlignment="1"/>
    <xf numFmtId="10" fontId="0" fillId="0" borderId="0" xfId="1" applyNumberFormat="1" applyFo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 Ayers" id="{A6B0671C-E3B1-424A-9FBD-22BC5F6B7E8D}" userId="55fd3f8ffa58db1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29T17:45:57.64" personId="{A6B0671C-E3B1-424A-9FBD-22BC5F6B7E8D}" id="{0773025C-C6C8-4313-9F85-A155F8AB112D}">
    <text>All weights in mg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9265-58A7-41E0-B3AE-336E217FD51F}">
  <dimension ref="A1:F18"/>
  <sheetViews>
    <sheetView tabSelected="1" workbookViewId="0">
      <selection activeCell="C24" sqref="C24"/>
    </sheetView>
  </sheetViews>
  <sheetFormatPr defaultRowHeight="12"/>
  <cols>
    <col min="1" max="1" width="40.83203125" bestFit="1" customWidth="1"/>
    <col min="2" max="2" width="19.1640625" bestFit="1" customWidth="1"/>
    <col min="3" max="3" width="9.6640625" bestFit="1" customWidth="1"/>
    <col min="4" max="4" width="19.1640625" bestFit="1" customWidth="1"/>
    <col min="5" max="5" width="9" bestFit="1" customWidth="1"/>
    <col min="6" max="6" width="19.16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</row>
    <row r="3" spans="1:6">
      <c r="A3" s="1" t="s">
        <v>9</v>
      </c>
      <c r="B3" s="1">
        <v>0.1</v>
      </c>
      <c r="C3" s="1">
        <v>0.1</v>
      </c>
      <c r="D3" s="1">
        <v>0.1</v>
      </c>
      <c r="E3" s="1">
        <v>0.1</v>
      </c>
      <c r="F3" s="1">
        <v>0.1</v>
      </c>
    </row>
    <row r="4" spans="1:6">
      <c r="A4" s="1" t="s">
        <v>10</v>
      </c>
      <c r="B4" s="1">
        <v>450</v>
      </c>
      <c r="C4" s="1">
        <v>450</v>
      </c>
      <c r="D4" s="1">
        <v>600</v>
      </c>
      <c r="E4" s="1">
        <v>600</v>
      </c>
      <c r="F4" s="1">
        <v>600</v>
      </c>
    </row>
    <row r="5" spans="1:6">
      <c r="A5" s="1" t="s">
        <v>11</v>
      </c>
      <c r="B5" s="1">
        <f>7*24</f>
        <v>168</v>
      </c>
      <c r="C5" s="1">
        <f>7*24</f>
        <v>168</v>
      </c>
      <c r="D5" s="1">
        <f>7*24</f>
        <v>168</v>
      </c>
      <c r="E5" s="1">
        <f>7*24</f>
        <v>168</v>
      </c>
      <c r="F5" s="1">
        <f>7*24</f>
        <v>168</v>
      </c>
    </row>
    <row r="6" spans="1:6">
      <c r="A6" s="1" t="s">
        <v>12</v>
      </c>
      <c r="B6" s="1">
        <v>10.8178</v>
      </c>
      <c r="C6" s="1">
        <v>16.967700000000001</v>
      </c>
      <c r="D6" s="1">
        <v>13.8027</v>
      </c>
      <c r="E6" s="1">
        <v>5.7878999999999996</v>
      </c>
      <c r="F6" s="1">
        <v>8.1333000000000002</v>
      </c>
    </row>
    <row r="7" spans="1:6">
      <c r="A7" s="1" t="s">
        <v>13</v>
      </c>
      <c r="B7" s="1">
        <v>9.8924000000000003</v>
      </c>
      <c r="C7" s="1">
        <v>15.0975</v>
      </c>
      <c r="D7" s="1"/>
      <c r="E7" s="1"/>
      <c r="F7" s="1"/>
    </row>
    <row r="8" spans="1:6">
      <c r="A8" s="1" t="s">
        <v>12</v>
      </c>
      <c r="B8" s="1">
        <v>10.8438</v>
      </c>
      <c r="C8" s="1">
        <v>16.412600000000001</v>
      </c>
      <c r="D8" s="1">
        <v>13.6615</v>
      </c>
      <c r="E8" s="1">
        <v>5.7675000000000001</v>
      </c>
      <c r="F8" s="1">
        <v>7.7248000000000001</v>
      </c>
    </row>
    <row r="9" spans="1:6">
      <c r="A9" s="1" t="s">
        <v>13</v>
      </c>
      <c r="B9" s="1">
        <v>9.8995999999999995</v>
      </c>
      <c r="C9" s="1">
        <v>14.916600000000001</v>
      </c>
      <c r="D9" s="1"/>
      <c r="E9" s="1"/>
      <c r="F9" s="1"/>
    </row>
    <row r="10" spans="1:6">
      <c r="A10" s="1" t="s">
        <v>14</v>
      </c>
      <c r="B10" s="1">
        <v>0.85770000000000002</v>
      </c>
      <c r="C10" s="1">
        <v>0.68589999999999995</v>
      </c>
      <c r="D10" s="1">
        <v>0.77080000000000004</v>
      </c>
      <c r="E10" s="1">
        <v>2.8899999999999999E-2</v>
      </c>
      <c r="F10" s="1">
        <v>0.87739999999999996</v>
      </c>
    </row>
    <row r="11" spans="1:6">
      <c r="A11" s="1" t="s">
        <v>15</v>
      </c>
      <c r="B11" s="1">
        <v>6.4</v>
      </c>
      <c r="C11" s="1">
        <v>0</v>
      </c>
      <c r="D11" s="1">
        <v>6.1</v>
      </c>
      <c r="E11" s="1">
        <v>0</v>
      </c>
      <c r="F11" s="1">
        <v>6</v>
      </c>
    </row>
    <row r="12" spans="1:6">
      <c r="A12" s="1" t="s">
        <v>16</v>
      </c>
      <c r="B12" s="1">
        <v>136.6</v>
      </c>
      <c r="C12" s="1">
        <v>112.5</v>
      </c>
      <c r="D12" s="1">
        <v>129.19999999999999</v>
      </c>
      <c r="E12" s="1">
        <v>96.8</v>
      </c>
      <c r="F12" s="1">
        <v>92.1</v>
      </c>
    </row>
    <row r="13" spans="1:6">
      <c r="A13" s="1" t="s">
        <v>17</v>
      </c>
      <c r="B13" s="1">
        <v>143.85769999999999</v>
      </c>
      <c r="C13" s="1">
        <v>113.1859</v>
      </c>
      <c r="D13" s="1">
        <v>136.07079999999999</v>
      </c>
      <c r="E13" s="1">
        <v>96.828900000000004</v>
      </c>
      <c r="F13" s="1">
        <v>98.947400000000002</v>
      </c>
    </row>
    <row r="14" spans="1:6">
      <c r="A14" s="1" t="s">
        <v>18</v>
      </c>
      <c r="B14" s="1">
        <f>(B6+B7)-(B8+B9)</f>
        <v>-3.3200000000000784E-2</v>
      </c>
      <c r="C14" s="1">
        <f>(C6+C7)-(C8+C9)</f>
        <v>0.73600000000000421</v>
      </c>
      <c r="D14" s="1">
        <f>(D6+D7)-(D8+D9)</f>
        <v>0.14119999999999955</v>
      </c>
      <c r="E14" s="1">
        <f>(E6+E7)-(E8+E9)</f>
        <v>2.039999999999953E-2</v>
      </c>
      <c r="F14" s="1">
        <f>(F6+F7)-(F8+F9)</f>
        <v>0.40850000000000009</v>
      </c>
    </row>
    <row r="15" spans="1:6">
      <c r="A15" s="1" t="s">
        <v>19</v>
      </c>
      <c r="B15" s="2">
        <f>B14/B13</f>
        <v>-2.3078361464141847E-4</v>
      </c>
      <c r="C15" s="2">
        <f>C14/C13</f>
        <v>6.5025767343812628E-3</v>
      </c>
      <c r="D15" s="2">
        <f>D14/D13</f>
        <v>1.0376950822659937E-3</v>
      </c>
      <c r="E15" s="2">
        <f>E14/E13</f>
        <v>2.106809020860459E-4</v>
      </c>
      <c r="F15" s="2">
        <f>F14/F13</f>
        <v>4.1284561292161299E-3</v>
      </c>
    </row>
    <row r="16" spans="1:6">
      <c r="A16" s="1" t="s">
        <v>20</v>
      </c>
      <c r="B16" s="3">
        <v>2.2309903886864033E-3</v>
      </c>
      <c r="C16" s="3">
        <v>6.1883893943930962E-3</v>
      </c>
      <c r="D16" s="3">
        <v>-2.296629326911011E-3</v>
      </c>
      <c r="E16" s="3">
        <v>7.0522823119662662E-3</v>
      </c>
      <c r="F16" s="3">
        <v>-2.120332526631846E-4</v>
      </c>
    </row>
    <row r="17" spans="1:5">
      <c r="A17" s="1" t="s">
        <v>21</v>
      </c>
      <c r="D17">
        <f>(D14/183.307)/(D12*0.000001)</f>
        <v>5.9620159457409754</v>
      </c>
      <c r="E17">
        <f>(E14/183.307)/(E12*0.000001)</f>
        <v>1.1496767807715347</v>
      </c>
    </row>
    <row r="18" spans="1:5">
      <c r="A18" s="1" t="s">
        <v>22</v>
      </c>
      <c r="E18">
        <v>0.129</v>
      </c>
    </row>
  </sheetData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4d9d5b-bad1-43ae-a310-979dd75c40ab">
      <Terms xmlns="http://schemas.microsoft.com/office/infopath/2007/PartnerControls"/>
    </lcf76f155ced4ddcb4097134ff3c332f>
    <TaxCatchAll xmlns="ad78e214-34d5-4fdd-b75d-5961e8c71f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7729A3E6EAA4F9E1C9F13D541663D" ma:contentTypeVersion="14" ma:contentTypeDescription="Create a new document." ma:contentTypeScope="" ma:versionID="c051356ea1710f3fb5d80eaeb75cb6ec">
  <xsd:schema xmlns:xsd="http://www.w3.org/2001/XMLSchema" xmlns:xs="http://www.w3.org/2001/XMLSchema" xmlns:p="http://schemas.microsoft.com/office/2006/metadata/properties" xmlns:ns2="734d9d5b-bad1-43ae-a310-979dd75c40ab" xmlns:ns3="ad78e214-34d5-4fdd-b75d-5961e8c71fd9" targetNamespace="http://schemas.microsoft.com/office/2006/metadata/properties" ma:root="true" ma:fieldsID="1b8103a8cf90e9c87e2e092ffa6eae69" ns2:_="" ns3:_="">
    <xsd:import namespace="734d9d5b-bad1-43ae-a310-979dd75c40ab"/>
    <xsd:import namespace="ad78e214-34d5-4fdd-b75d-5961e8c71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d9d5b-bad1-43ae-a310-979dd75c4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8e214-34d5-4fdd-b75d-5961e8c71f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7d803d5-033d-4c9d-afec-10d151e44ed4}" ma:internalName="TaxCatchAll" ma:showField="CatchAllData" ma:web="ad78e214-34d5-4fdd-b75d-5961e8c71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B9BD08-5E1E-48C2-91F3-7B87BB0F52AB}">
  <ds:schemaRefs>
    <ds:schemaRef ds:uri="http://schemas.microsoft.com/office/2006/metadata/properties"/>
    <ds:schemaRef ds:uri="http://schemas.microsoft.com/office/infopath/2007/PartnerControls"/>
    <ds:schemaRef ds:uri="734d9d5b-bad1-43ae-a310-979dd75c40ab"/>
    <ds:schemaRef ds:uri="ad78e214-34d5-4fdd-b75d-5961e8c71fd9"/>
  </ds:schemaRefs>
</ds:datastoreItem>
</file>

<file path=customXml/itemProps2.xml><?xml version="1.0" encoding="utf-8"?>
<ds:datastoreItem xmlns:ds="http://schemas.openxmlformats.org/officeDocument/2006/customXml" ds:itemID="{60598152-716B-457D-B42A-BF69A7C08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AD3D3E-E1DC-4BA7-B70B-19026A6E33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d9d5b-bad1-43ae-a310-979dd75c40ab"/>
    <ds:schemaRef ds:uri="ad78e214-34d5-4fdd-b75d-5961e8c71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Hu, Pan</dc:creator>
  <cp:keywords/>
  <dc:description/>
  <cp:lastModifiedBy>John Ayers</cp:lastModifiedBy>
  <cp:revision/>
  <dcterms:created xsi:type="dcterms:W3CDTF">2025-06-23T15:35:00Z</dcterms:created>
  <dcterms:modified xsi:type="dcterms:W3CDTF">2026-09-29T17:46:29Z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0x0101004E97729A3E6EAA4F9E1C9F13D541663D</vt:lpwstr>
  </property>
  <property fmtid="{D5CDD505-2E9C-101B-9397-08002B2CF9AE}" pid="3" name="MediaServiceImageTags">
    <vt:lpwstr/>
  </property>
</Properties>
</file>